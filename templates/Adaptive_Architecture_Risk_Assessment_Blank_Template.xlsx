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29dc7291de4235" /></Relationships>
</file>

<file path=xl/workbook.xml><?xml version="1.0" encoding="utf-8"?>
<x:workbook xmlns:x="http://schemas.openxmlformats.org/spreadsheetml/2006/main">
  <x:sheets>
    <x:sheet xmlns:r="http://schemas.openxmlformats.org/officeDocument/2006/relationships" name="Assessment Summary" sheetId="1" r:id="Rd7ec4150b489468a"/>
    <x:sheet xmlns:r="http://schemas.openxmlformats.org/officeDocument/2006/relationships" name="Solution Classification" sheetId="2" r:id="R8d43cc136a8842a3"/>
    <x:sheet xmlns:r="http://schemas.openxmlformats.org/officeDocument/2006/relationships" name="Question Router" sheetId="3" r:id="R8f3c2e4951254aa1"/>
    <x:sheet xmlns:r="http://schemas.openxmlformats.org/officeDocument/2006/relationships" name="Architecture Risk Register" sheetId="4" r:id="R33fc89a65e5c405d"/>
    <x:sheet xmlns:r="http://schemas.openxmlformats.org/officeDocument/2006/relationships" name="Due Diligence Evidence" sheetId="5" r:id="R3efbf971ff9f4bc6"/>
    <x:sheet xmlns:r="http://schemas.openxmlformats.org/officeDocument/2006/relationships" name="Architecture Decisions" sheetId="6" r:id="R0b0e3a436099479d"/>
    <x:sheet xmlns:r="http://schemas.openxmlformats.org/officeDocument/2006/relationships" name="Technology Lifecycle" sheetId="7" r:id="Re7707459dfad4e0a"/>
    <x:sheet xmlns:r="http://schemas.openxmlformats.org/officeDocument/2006/relationships" name="Exception Register" sheetId="8" r:id="Rb2f8c3d47d2040c0"/>
    <x:sheet xmlns:r="http://schemas.openxmlformats.org/officeDocument/2006/relationships" name="Scoring &amp; Guidance" sheetId="9" r:id="R9b0eba3551704397"/>
    <x:sheet xmlns:r="http://schemas.openxmlformats.org/officeDocument/2006/relationships" name="AI Fill Guide" sheetId="10" r:id="Rf08c07d749e347d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
  </x:numFmts>
  <x:fonts count="18">
    <x:font>
      <x:sz val="11"/>
      <x:name val="Carlito"/>
    </x:font>
    <x:font>
      <x:sz val="10"/>
      <x:color rgb="FF1F2A30"/>
      <x:name val="Arial"/>
    </x:font>
    <x:font>
      <x:b/>
      <x:sz val="18"/>
      <x:color rgb="FFFFFFFF"/>
      <x:name val="Arial"/>
    </x:font>
    <x:font>
      <x:i/>
      <x:sz val="10"/>
      <x:color rgb="FF1F2A30"/>
      <x:name val="Arial"/>
    </x:font>
    <x:font>
      <x:b/>
      <x:sz val="9"/>
      <x:color rgb="FFFFFFFF"/>
      <x:name val="Arial"/>
    </x:font>
    <x:font>
      <x:b/>
      <x:sz val="15"/>
      <x:color rgb="FF006298"/>
      <x:name val="Arial"/>
    </x:font>
    <x:font>
      <x:b/>
      <x:sz val="11"/>
      <x:color rgb="FFFFFFFF"/>
      <x:name val="Arial"/>
    </x:font>
    <x:font>
      <x:sz val="9"/>
      <x:color rgb="FF1F2A30"/>
      <x:name val="Arial"/>
    </x:font>
    <x:font>
      <x:b/>
      <x:sz val="14"/>
      <x:color rgb="FFFFFFFF"/>
      <x:name val="Arial"/>
    </x:font>
    <x:font>
      <x:b/>
      <x:sz val="10"/>
      <x:color rgb="FF00635B"/>
      <x:name val="Arial"/>
    </x:font>
    <x:font>
      <x:sz val="9"/>
      <x:color rgb="FF006298"/>
      <x:name val="Arial"/>
    </x:font>
    <x:font>
      <x:b/>
      <x:sz val="10"/>
      <x:color rgb="FF1F2A30"/>
      <x:name val="Arial"/>
    </x:font>
    <x:font>
      <x:b/>
      <x:sz val="10"/>
      <x:color rgb="FF006298"/>
      <x:name val="Arial"/>
    </x:font>
    <x:font>
      <x:b/>
      <x:sz val="9"/>
      <x:color rgb="FF006298"/>
      <x:name val="Arial"/>
    </x:font>
    <x:font>
      <x:sz val="9"/>
      <x:color rgb="FFDA291C"/>
      <x:name val="Arial"/>
    </x:font>
    <x:font>
      <x:b/>
      <x:sz val="9"/>
      <x:color rgb="FF00635B"/>
      <x:name val="Arial"/>
    </x:font>
    <x:font>
      <x:b/>
      <x:sz val="9"/>
      <x:color rgb="FFFFFFFF"/>
      <x:name val="Consolas"/>
    </x:font>
    <x:font>
      <x:sz val="9"/>
      <x:color rgb="FFFFFFFF"/>
      <x:name val="Consolas"/>
    </x:font>
  </x:fonts>
  <x:fills count="15">
    <x:fill>
      <x:patternFill patternType="none"/>
    </x:fill>
    <x:fill>
      <x:patternFill patternType="gray125"/>
    </x:fill>
    <x:fill>
      <x:patternFill patternType="solid">
        <x:fgColor rgb="FF006298"/>
      </x:patternFill>
    </x:fill>
    <x:fill>
      <x:patternFill patternType="solid">
        <x:fgColor rgb="FFE8F3F8"/>
      </x:patternFill>
    </x:fill>
    <x:fill>
      <x:patternFill patternType="solid">
        <x:fgColor rgb="FF00635B"/>
      </x:patternFill>
    </x:fill>
    <x:fill>
      <x:patternFill patternType="solid">
        <x:fgColor rgb="FF73808A"/>
      </x:patternFill>
    </x:fill>
    <x:fill>
      <x:patternFill patternType="solid">
        <x:fgColor rgb="FFFFF7D6"/>
      </x:patternFill>
    </x:fill>
    <x:fill>
      <x:patternFill patternType="solid">
        <x:fgColor rgb="FF00A3E0"/>
      </x:patternFill>
    </x:fill>
    <x:fill>
      <x:patternFill patternType="solid">
        <x:fgColor rgb="FF84BD00"/>
      </x:patternFill>
    </x:fill>
    <x:fill>
      <x:patternFill patternType="solid">
        <x:fgColor rgb="FFEDF6D7"/>
      </x:patternFill>
    </x:fill>
    <x:fill>
      <x:patternFill patternType="solid">
        <x:fgColor rgb="FFF4F7F8"/>
      </x:patternFill>
    </x:fill>
    <x:fill>
      <x:patternFill patternType="solid">
        <x:fgColor rgb="FFFFFFFF"/>
      </x:patternFill>
    </x:fill>
    <x:fill>
      <x:patternFill patternType="solid">
        <x:fgColor rgb="FFFFF3C4"/>
      </x:patternFill>
    </x:fill>
    <x:fill>
      <x:patternFill patternType="solid">
        <x:fgColor rgb="FFFFE1B3"/>
      </x:patternFill>
    </x:fill>
    <x:fill>
      <x:patternFill patternType="solid">
        <x:fgColor rgb="FFDA291C"/>
      </x:patternFill>
    </x:fill>
  </x:fills>
  <x:borders count="43">
    <x:border/>
    <x:border>
      <x:bottom style="medium">
        <x:color rgb="FF00A3E0"/>
      </x:bottom>
    </x:border>
    <x:border>
      <x:left style="thin">
        <x:color rgb="FF00A3E0"/>
      </x:left>
      <x:top style="thin">
        <x:color rgb="FF00A3E0"/>
      </x:top>
      <x:bottom style="thin">
        <x:color rgb="FF00A3E0"/>
      </x:bottom>
    </x:border>
    <x:border>
      <x:top style="thin">
        <x:color rgb="FF00A3E0"/>
      </x:top>
      <x:bottom style="thin">
        <x:color rgb="FF00A3E0"/>
      </x:bottom>
    </x:border>
    <x:border>
      <x:right style="thin">
        <x:color rgb="FF00A3E0"/>
      </x:right>
      <x:top style="thin">
        <x:color rgb="FF00A3E0"/>
      </x:top>
      <x:bottom style="thin">
        <x:color rgb="FF00A3E0"/>
      </x:bottom>
    </x:border>
    <x:border>
      <x:left style="thin">
        <x:color rgb="FFD7DEE2"/>
      </x:left>
      <x:top style="thin">
        <x:color rgb="FFD7DEE2"/>
      </x:top>
      <x:bottom style="thin">
        <x:color rgb="FFD7DEE2"/>
      </x:bottom>
    </x:border>
    <x:border>
      <x:top style="thin">
        <x:color rgb="FFD7DEE2"/>
      </x:top>
      <x:bottom style="thin">
        <x:color rgb="FFD7DEE2"/>
      </x:bottom>
    </x:border>
    <x:border>
      <x:right style="thin">
        <x:color rgb="FFD7DEE2"/>
      </x:right>
      <x:top style="thin">
        <x:color rgb="FFD7DEE2"/>
      </x:top>
      <x:bottom style="thin">
        <x:color rgb="FFD7DEE2"/>
      </x:bottom>
    </x:border>
    <x:border>
      <x:left style="thin">
        <x:color rgb="FFD7DEE2"/>
      </x:left>
      <x:right style="thin">
        <x:color rgb="FFD7DEE2"/>
      </x:right>
      <x:top style="thin">
        <x:color rgb="FFD7DEE2"/>
      </x:top>
      <x:bottom style="thin">
        <x:color rgb="FFD7DEE2"/>
      </x:bottom>
    </x:border>
    <x:border>
      <x:left style="thin">
        <x:color rgb="FF84BD00"/>
      </x:left>
      <x:right style="thin">
        <x:color rgb="FF84BD00"/>
      </x:right>
      <x:top style="thin">
        <x:color rgb="FF84BD00"/>
      </x:top>
      <x:bottom style="thin">
        <x:color rgb="FF84BD00"/>
      </x:bottom>
    </x:border>
    <x:border>
      <x:left style="thin">
        <x:color rgb="FF00A3E0"/>
      </x:left>
      <x:right style="thin">
        <x:color rgb="FF00A3E0"/>
      </x:right>
      <x:top style="thin">
        <x:color rgb="FF00A3E0"/>
      </x:top>
      <x:bottom style="thin">
        <x:color rgb="FF00A3E0"/>
      </x:bottom>
    </x:border>
    <x:border>
      <x:left style="thin">
        <x:color rgb="FFFFA300"/>
      </x:left>
      <x:right style="thin">
        <x:color rgb="FFFFA300"/>
      </x:right>
      <x:top style="thin">
        <x:color rgb="FFFFA300"/>
      </x:top>
      <x:bottom style="thin">
        <x:color rgb="FFFFA300"/>
      </x:bottom>
    </x:border>
    <x:border>
      <x:left style="thin">
        <x:color rgb="FFFFFFFF"/>
      </x:left>
      <x:right style="thin">
        <x:color rgb="FFFFFFFF"/>
      </x:right>
      <x:top style="thin">
        <x:color rgb="FFFFFFFF"/>
      </x:top>
      <x:bottom style="thin">
        <x:color rgb="FFFFFFFF"/>
      </x:bottom>
    </x:border>
    <x:border>
      <x:left style="thin">
        <x:color rgb="FFD7DEE2"/>
      </x:left>
      <x:right style="thin">
        <x:color rgb="FFD7DEE2"/>
      </x:right>
      <x:bottom style="thin">
        <x:color rgb="FFD7DEE2"/>
      </x:bottom>
    </x:border>
    <x:border>
      <x:left style="thin">
        <x:color rgb="FF00A3E0"/>
      </x:left>
      <x:top style="thin">
        <x:color rgb="FF00A3E0"/>
      </x:top>
    </x:border>
    <x:border>
      <x:top style="thin">
        <x:color rgb="FF00A3E0"/>
      </x:top>
    </x:border>
    <x:border>
      <x:right style="thin">
        <x:color rgb="FF00A3E0"/>
      </x:right>
      <x:top style="thin">
        <x:color rgb="FF00A3E0"/>
      </x:top>
    </x:border>
    <x:border>
      <x:left style="thin">
        <x:color rgb="FF00A3E0"/>
      </x:left>
      <x:bottom style="thin">
        <x:color rgb="FF00A3E0"/>
      </x:bottom>
    </x:border>
    <x:border>
      <x:bottom style="thin">
        <x:color rgb="FF00A3E0"/>
      </x:bottom>
    </x:border>
    <x:border>
      <x:right style="thin">
        <x:color rgb="FF00A3E0"/>
      </x:right>
      <x:bottom style="thin">
        <x:color rgb="FF00A3E0"/>
      </x:bottom>
    </x:border>
    <x:border>
      <x:left style="thin">
        <x:color rgb="FF84BD00"/>
      </x:left>
      <x:top style="thin">
        <x:color rgb="FF84BD00"/>
      </x:top>
    </x:border>
    <x:border>
      <x:top style="thin">
        <x:color rgb="FF84BD00"/>
      </x:top>
    </x:border>
    <x:border>
      <x:right style="thin">
        <x:color rgb="FF84BD00"/>
      </x:right>
      <x:top style="thin">
        <x:color rgb="FF84BD00"/>
      </x:top>
    </x:border>
    <x:border>
      <x:left style="thin">
        <x:color rgb="FF84BD00"/>
      </x:left>
      <x:bottom style="thin">
        <x:color rgb="FF84BD00"/>
      </x:bottom>
    </x:border>
    <x:border>
      <x:bottom style="thin">
        <x:color rgb="FF84BD00"/>
      </x:bottom>
    </x:border>
    <x:border>
      <x:right style="thin">
        <x:color rgb="FF84BD00"/>
      </x:right>
      <x:bottom style="thin">
        <x:color rgb="FF84BD00"/>
      </x:bottom>
    </x:border>
    <x:border>
      <x:left style="thin">
        <x:color rgb="FFFFA300"/>
      </x:left>
      <x:top style="thin">
        <x:color rgb="FFFFA300"/>
      </x:top>
    </x:border>
    <x:border>
      <x:top style="thin">
        <x:color rgb="FFFFA300"/>
      </x:top>
    </x:border>
    <x:border>
      <x:right style="thin">
        <x:color rgb="FFFFA300"/>
      </x:right>
      <x:top style="thin">
        <x:color rgb="FFFFA300"/>
      </x:top>
    </x:border>
    <x:border>
      <x:left style="thin">
        <x:color rgb="FFFFA300"/>
      </x:left>
      <x:bottom style="thin">
        <x:color rgb="FFFFA300"/>
      </x:bottom>
    </x:border>
    <x:border>
      <x:bottom style="thin">
        <x:color rgb="FFFFA300"/>
      </x:bottom>
    </x:border>
    <x:border>
      <x:right style="thin">
        <x:color rgb="FFFFA300"/>
      </x:right>
      <x:bottom style="thin">
        <x:color rgb="FFFFA300"/>
      </x:bottom>
    </x:border>
    <x:border>
      <x:left style="thin">
        <x:color rgb="FFD7DEE2"/>
      </x:left>
      <x:top style="thin">
        <x:color rgb="FFD7DEE2"/>
      </x:top>
    </x:border>
    <x:border>
      <x:top style="thin">
        <x:color rgb="FFD7DEE2"/>
      </x:top>
    </x:border>
    <x:border>
      <x:right style="thin">
        <x:color rgb="FFD7DEE2"/>
      </x:right>
      <x:top style="thin">
        <x:color rgb="FFD7DEE2"/>
      </x:top>
    </x:border>
    <x:border>
      <x:left style="thin">
        <x:color rgb="FFD7DEE2"/>
      </x:left>
      <x:bottom style="thin">
        <x:color rgb="FFD7DEE2"/>
      </x:bottom>
    </x:border>
    <x:border>
      <x:bottom style="thin">
        <x:color rgb="FFD7DEE2"/>
      </x:bottom>
    </x:border>
    <x:border>
      <x:right style="thin">
        <x:color rgb="FFD7DEE2"/>
      </x:right>
      <x:bottom style="thin">
        <x:color rgb="FFD7DEE2"/>
      </x:bottom>
    </x:border>
    <x:border>
      <x:left style="thin">
        <x:color rgb="FF00A3E0"/>
      </x:left>
    </x:border>
    <x:border>
      <x:right style="thin">
        <x:color rgb="FF00A3E0"/>
      </x:right>
    </x:border>
    <x:border>
      <x:left style="thin">
        <x:color rgb="FF84BD00"/>
      </x:left>
    </x:border>
    <x:border>
      <x:right style="thin">
        <x:color rgb="FF84BD00"/>
      </x:right>
    </x:border>
    <x:border>
      <x:left style="medium">
        <x:color rgb="FF00A3E0"/>
      </x:left>
    </x:border>
  </x:borders>
  <x:cellStyleXfs count="1">
    <x:xf numFmtId="0" fontId="0" fillId="0" borderId="0"/>
  </x:cellStyleXfs>
  <x:cellXfs count="27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left" vertical="top"/>
    </x:xf>
    <x:xf numFmtId="0" fontId="2" fillId="2" borderId="0" xfId="0" applyNumberFormat="1" applyFont="1" applyFill="1" applyBorder="1" applyAlignment="1">
      <x:alignment horizontal="lef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1" xfId="0" applyNumberFormat="1" applyFont="1" applyFill="1" applyBorder="1" applyAlignment="1">
      <x:alignment vertical="top"/>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left" vertical="top" wrapText="1"/>
    </x:xf>
    <x:xf numFmtId="0" fontId="3" fillId="3" borderId="1" xfId="0" applyNumberFormat="1" applyFont="1" applyFill="1" applyBorder="1" applyAlignment="1">
      <x:alignment horizontal="left" vertical="center" wrapText="1"/>
    </x:xf>
    <x:xf numFmtId="0" fontId="4" fillId="2" borderId="0" xfId="0" applyNumberFormat="1" applyFont="1" applyFill="1" applyBorder="1" applyAlignment="1">
      <x:alignment vertical="top"/>
    </x:xf>
    <x:xf numFmtId="0" fontId="4" fillId="2" borderId="0" xfId="0" applyNumberFormat="1" applyFont="1" applyFill="1" applyBorder="1" applyAlignment="1">
      <x:alignment horizontal="center" vertical="top"/>
    </x:xf>
    <x:xf numFmtId="0" fontId="4" fillId="2" borderId="0" xfId="0" applyNumberFormat="1" applyFont="1" applyFill="1" applyBorder="1" applyAlignment="1">
      <x:alignment horizontal="center" vertical="center"/>
    </x:xf>
    <x:xf numFmtId="0" fontId="5" fillId="3" borderId="0" xfId="0" applyNumberFormat="1" applyFont="1" applyFill="1" applyBorder="1" applyAlignment="1">
      <x:alignment vertical="top"/>
    </x:xf>
    <x:xf numFmtId="0" fontId="5" fillId="3" borderId="2" xfId="0" applyNumberFormat="1" applyFont="1" applyFill="1" applyBorder="1" applyAlignment="1">
      <x:alignment vertical="top"/>
    </x:xf>
    <x:xf numFmtId="0" fontId="5" fillId="3" borderId="3" xfId="0" applyNumberFormat="1" applyFont="1" applyFill="1" applyBorder="1" applyAlignment="1">
      <x:alignment vertical="top"/>
    </x:xf>
    <x:xf numFmtId="0" fontId="5" fillId="3" borderId="4" xfId="0" applyNumberFormat="1" applyFont="1" applyFill="1" applyBorder="1" applyAlignment="1">
      <x:alignment vertical="top"/>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2"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4" xfId="0" applyNumberFormat="1" applyFont="1" applyFill="1" applyBorder="1" applyAlignment="1">
      <x:alignment horizontal="center" vertical="top"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1" fillId="4" borderId="0" xfId="0" applyNumberFormat="1" applyFont="1" applyFill="1" applyBorder="1" applyAlignment="1">
      <x:alignment vertical="top"/>
    </x:xf>
    <x:xf numFmtId="0" fontId="6" fillId="4" borderId="0" xfId="0" applyNumberFormat="1" applyFont="1" applyFill="1" applyBorder="1" applyAlignment="1">
      <x:alignment vertical="top"/>
    </x:xf>
    <x:xf numFmtId="0" fontId="6" fillId="4" borderId="0" xfId="0" applyNumberFormat="1" applyFont="1" applyFill="1" applyBorder="1" applyAlignment="1">
      <x:alignment vertical="center"/>
    </x:xf>
    <x:xf numFmtId="0" fontId="1" fillId="5" borderId="0" xfId="0" applyNumberFormat="1" applyFont="1" applyFill="1" applyBorder="1" applyAlignment="1">
      <x:alignment vertical="top"/>
    </x:xf>
    <x:xf numFmtId="0" fontId="4" fillId="5" borderId="0" xfId="0" applyNumberFormat="1" applyFont="1" applyFill="1" applyBorder="1" applyAlignment="1">
      <x:alignment vertical="top"/>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top"/>
    </x:xf>
    <x:xf numFmtId="0" fontId="7" fillId="6" borderId="0" xfId="0" applyNumberFormat="1" applyFont="1" applyFill="1" applyBorder="1" applyAlignment="1">
      <x:alignment vertical="top"/>
    </x:xf>
    <x:xf numFmtId="0" fontId="7" fillId="6" borderId="5" xfId="0" applyNumberFormat="1" applyFont="1" applyFill="1" applyBorder="1" applyAlignment="1">
      <x:alignment vertical="top"/>
    </x:xf>
    <x:xf numFmtId="0" fontId="7" fillId="6" borderId="6" xfId="0" applyNumberFormat="1" applyFont="1" applyFill="1" applyBorder="1" applyAlignment="1">
      <x:alignment vertical="top"/>
    </x:xf>
    <x:xf numFmtId="0" fontId="7" fillId="6" borderId="7" xfId="0" applyNumberFormat="1" applyFont="1" applyFill="1" applyBorder="1" applyAlignment="1">
      <x:alignment vertical="top"/>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5" xfId="0" applyNumberFormat="1" applyFont="1" applyFill="1" applyBorder="1" applyAlignment="1">
      <x:alignment vertical="center" wrapText="1"/>
    </x:xf>
    <x:xf numFmtId="0" fontId="7" fillId="6" borderId="6" xfId="0" applyNumberFormat="1" applyFont="1" applyFill="1" applyBorder="1" applyAlignment="1">
      <x:alignment vertical="center" wrapText="1"/>
    </x:xf>
    <x:xf numFmtId="0" fontId="7" fillId="6" borderId="7" xfId="0" applyNumberFormat="1" applyFont="1" applyFill="1" applyBorder="1" applyAlignment="1">
      <x:alignment vertical="center" wrapText="1"/>
    </x:xf>
    <x:xf numFmtId="200" fontId="7" fillId="6" borderId="5" xfId="0" applyNumberFormat="1" applyFont="1" applyFill="1" applyBorder="1" applyAlignment="1">
      <x:alignment vertical="center" wrapText="1"/>
    </x:xf>
    <x:xf numFmtId="200" fontId="7" fillId="6" borderId="6" xfId="0" applyNumberFormat="1" applyFont="1" applyFill="1" applyBorder="1" applyAlignment="1">
      <x:alignment vertical="center" wrapText="1"/>
    </x:xf>
    <x:xf numFmtId="200" fontId="7" fillId="6" borderId="7" xfId="0" applyNumberFormat="1" applyFont="1" applyFill="1" applyBorder="1" applyAlignment="1">
      <x:alignment vertical="center" wrapText="1"/>
    </x:xf>
    <x:xf numFmtId="0" fontId="1" fillId="7" borderId="0" xfId="0" applyNumberFormat="1" applyFont="1" applyFill="1" applyBorder="1" applyAlignment="1">
      <x:alignment vertical="top"/>
    </x:xf>
    <x:xf numFmtId="0" fontId="6" fillId="7" borderId="0" xfId="0" applyNumberFormat="1" applyFont="1" applyFill="1" applyBorder="1" applyAlignment="1">
      <x:alignment vertical="top"/>
    </x:xf>
    <x:xf numFmtId="0" fontId="6" fillId="7" borderId="0" xfId="0" applyNumberFormat="1" applyFont="1" applyFill="1" applyBorder="1" applyAlignment="1">
      <x:alignment vertical="center"/>
    </x:xf>
    <x:xf numFmtId="0" fontId="1" fillId="8" borderId="0" xfId="0" applyNumberFormat="1" applyFont="1" applyFill="1" applyBorder="1" applyAlignment="1">
      <x:alignment vertical="top"/>
    </x:xf>
    <x:xf numFmtId="0" fontId="8" fillId="8" borderId="0" xfId="0" applyNumberFormat="1" applyFont="1" applyFill="1" applyBorder="1" applyAlignment="1">
      <x:alignment vertical="top"/>
    </x:xf>
    <x:xf numFmtId="0" fontId="8" fillId="8" borderId="0" xfId="0" applyNumberFormat="1" applyFont="1" applyFill="1" applyBorder="1" applyAlignment="1">
      <x:alignment horizontal="center" vertical="top"/>
    </x:xf>
    <x:xf numFmtId="0" fontId="8" fillId="8" borderId="0" xfId="0" applyNumberFormat="1" applyFont="1" applyFill="1" applyBorder="1" applyAlignment="1">
      <x:alignment horizontal="center" vertical="center"/>
    </x:xf>
    <x:xf numFmtId="0" fontId="1" fillId="9" borderId="0" xfId="0" applyNumberFormat="1" applyFont="1" applyFill="1" applyBorder="1" applyAlignment="1">
      <x:alignment vertical="top"/>
    </x:xf>
    <x:xf numFmtId="0" fontId="9" fillId="9" borderId="0" xfId="0" applyNumberFormat="1" applyFont="1" applyFill="1" applyBorder="1" applyAlignment="1">
      <x:alignment vertical="top"/>
    </x:xf>
    <x:xf numFmtId="0" fontId="9" fillId="9" borderId="0" xfId="0" applyNumberFormat="1" applyFont="1" applyFill="1" applyBorder="1" applyAlignment="1">
      <x:alignment vertical="center"/>
    </x:xf>
    <x:xf numFmtId="0" fontId="1" fillId="10" borderId="0" xfId="0" applyNumberFormat="1" applyFont="1" applyFill="1" applyBorder="1" applyAlignment="1">
      <x:alignment vertical="top"/>
    </x:xf>
    <x:xf numFmtId="0" fontId="7" fillId="10" borderId="0" xfId="0" applyNumberFormat="1" applyFont="1" applyFill="1" applyBorder="1" applyAlignment="1">
      <x:alignment vertical="top"/>
    </x:xf>
    <x:xf numFmtId="0" fontId="7" fillId="10" borderId="8" xfId="0" applyNumberFormat="1" applyFont="1" applyFill="1" applyBorder="1" applyAlignment="1">
      <x:alignment vertical="top"/>
    </x:xf>
    <x:xf numFmtId="0" fontId="7" fillId="10" borderId="8" xfId="0" applyNumberFormat="1" applyFont="1" applyFill="1" applyBorder="1" applyAlignment="1">
      <x:alignment vertical="top" wrapText="1"/>
    </x:xf>
    <x:xf numFmtId="0" fontId="7" fillId="10" borderId="8" xfId="0" applyNumberFormat="1" applyFont="1" applyFill="1" applyBorder="1" applyAlignment="1">
      <x:alignment vertical="center" wrapText="1"/>
    </x:xf>
    <x:xf numFmtId="0" fontId="10" fillId="3" borderId="0" xfId="0" applyNumberFormat="1" applyFont="1" applyFill="1" applyBorder="1" applyAlignment="1">
      <x:alignment vertical="top"/>
    </x:xf>
    <x:xf numFmtId="0" fontId="10" fillId="3" borderId="8" xfId="0" applyNumberFormat="1" applyFont="1" applyFill="1" applyBorder="1" applyAlignment="1">
      <x:alignment vertical="top"/>
    </x:xf>
    <x:xf numFmtId="0" fontId="10" fillId="3" borderId="8" xfId="0" applyNumberFormat="1" applyFont="1" applyFill="1" applyBorder="1" applyAlignment="1">
      <x:alignment vertical="top" wrapText="1"/>
    </x:xf>
    <x:xf numFmtId="0" fontId="10" fillId="3" borderId="8" xfId="0" applyNumberFormat="1" applyFont="1" applyFill="1" applyBorder="1" applyAlignment="1">
      <x:alignment vertical="center" wrapText="1"/>
    </x:xf>
    <x:xf numFmtId="0" fontId="1" fillId="11" borderId="0" xfId="0" applyNumberFormat="1" applyFont="1" applyFill="1" applyBorder="1" applyAlignment="1">
      <x:alignment vertical="top"/>
    </x:xf>
    <x:xf numFmtId="0" fontId="7" fillId="11" borderId="0" xfId="0" applyNumberFormat="1" applyFont="1" applyFill="1" applyBorder="1" applyAlignment="1">
      <x:alignment vertical="top"/>
    </x:xf>
    <x:xf numFmtId="0" fontId="7" fillId="11" borderId="8" xfId="0" applyNumberFormat="1" applyFont="1" applyFill="1" applyBorder="1" applyAlignment="1">
      <x:alignment vertical="top"/>
    </x:xf>
    <x:xf numFmtId="0" fontId="7" fillId="11" borderId="8" xfId="0" applyNumberFormat="1" applyFont="1" applyFill="1" applyBorder="1" applyAlignment="1">
      <x:alignment vertical="top" wrapText="1"/>
    </x:xf>
    <x:xf numFmtId="0" fontId="7" fillId="11" borderId="8" xfId="0" applyNumberFormat="1" applyFont="1" applyFill="1" applyBorder="1" applyAlignment="1">
      <x:alignment vertical="center" wrapText="1"/>
    </x:xf>
    <x:xf numFmtId="0" fontId="6" fillId="2" borderId="0" xfId="0" applyNumberFormat="1" applyFont="1" applyFill="1" applyBorder="1" applyAlignment="1">
      <x:alignment vertical="top"/>
    </x:xf>
    <x:xf numFmtId="0" fontId="6" fillId="2" borderId="0" xfId="0" applyNumberFormat="1" applyFont="1" applyFill="1" applyBorder="1" applyAlignment="1">
      <x:alignment vertical="center"/>
    </x:xf>
    <x:xf numFmtId="0" fontId="9" fillId="9" borderId="9" xfId="0" applyNumberFormat="1" applyFont="1" applyFill="1" applyBorder="1" applyAlignment="1">
      <x:alignment vertical="top"/>
    </x:xf>
    <x:xf numFmtId="0" fontId="9" fillId="9" borderId="9" xfId="0" applyNumberFormat="1" applyFont="1" applyFill="1" applyBorder="1" applyAlignment="1">
      <x:alignment vertical="top" wrapText="1"/>
    </x:xf>
    <x:xf numFmtId="0" fontId="9" fillId="9" borderId="9" xfId="0" applyNumberFormat="1" applyFont="1" applyFill="1" applyBorder="1" applyAlignment="1">
      <x:alignment vertical="center" wrapText="1"/>
    </x:xf>
    <x:xf numFmtId="0" fontId="1" fillId="3" borderId="10" xfId="0" applyNumberFormat="1" applyFont="1" applyFill="1" applyBorder="1" applyAlignment="1">
      <x:alignment vertical="top"/>
    </x:xf>
    <x:xf numFmtId="0" fontId="1" fillId="3" borderId="10" xfId="0" applyNumberFormat="1" applyFont="1" applyFill="1" applyBorder="1" applyAlignment="1">
      <x:alignment vertical="top" wrapText="1"/>
    </x:xf>
    <x:xf numFmtId="0" fontId="1" fillId="3" borderId="10" xfId="0" applyNumberFormat="1" applyFont="1" applyFill="1" applyBorder="1" applyAlignment="1">
      <x:alignment vertical="center" wrapText="1"/>
    </x:xf>
    <x:xf numFmtId="0" fontId="1" fillId="10" borderId="8" xfId="0" applyNumberFormat="1" applyFont="1" applyFill="1" applyBorder="1" applyAlignment="1">
      <x:alignment vertical="top"/>
    </x:xf>
    <x:xf numFmtId="0" fontId="1" fillId="10" borderId="8" xfId="0" applyNumberFormat="1" applyFont="1" applyFill="1" applyBorder="1" applyAlignment="1">
      <x:alignment vertical="top" wrapText="1"/>
    </x:xf>
    <x:xf numFmtId="0" fontId="1" fillId="10" borderId="8" xfId="0" applyNumberFormat="1" applyFont="1" applyFill="1" applyBorder="1" applyAlignment="1">
      <x:alignment vertical="center" wrapText="1"/>
    </x:xf>
    <x:xf numFmtId="0" fontId="11" fillId="6" borderId="0" xfId="0" applyNumberFormat="1" applyFont="1" applyFill="1" applyBorder="1" applyAlignment="1">
      <x:alignment vertical="top"/>
    </x:xf>
    <x:xf numFmtId="0" fontId="11" fillId="6" borderId="11" xfId="0" applyNumberFormat="1" applyFont="1" applyFill="1" applyBorder="1" applyAlignment="1">
      <x:alignment vertical="top"/>
    </x:xf>
    <x:xf numFmtId="0" fontId="11" fillId="6" borderId="11" xfId="0" applyNumberFormat="1" applyFont="1" applyFill="1" applyBorder="1" applyAlignment="1">
      <x:alignment vertical="top" wrapText="1"/>
    </x:xf>
    <x:xf numFmtId="0" fontId="11" fillId="6" borderId="11" xfId="0" applyNumberFormat="1" applyFont="1" applyFill="1" applyBorder="1" applyAlignment="1">
      <x:alignment vertical="center" wrapText="1"/>
    </x:xf>
    <x:xf numFmtId="0" fontId="4" fillId="4" borderId="0" xfId="0" applyNumberFormat="1" applyFont="1" applyFill="1" applyBorder="1" applyAlignment="1">
      <x:alignment vertical="top"/>
    </x:xf>
    <x:xf numFmtId="0" fontId="4" fillId="4" borderId="12" xfId="0" applyNumberFormat="1" applyFont="1" applyFill="1" applyBorder="1" applyAlignment="1">
      <x:alignment vertical="top"/>
    </x:xf>
    <x:xf numFmtId="0" fontId="4" fillId="4" borderId="12" xfId="0" applyNumberFormat="1" applyFont="1" applyFill="1" applyBorder="1" applyAlignment="1">
      <x:alignment vertical="top" wrapText="1"/>
    </x:xf>
    <x:xf numFmtId="0" fontId="4" fillId="4" borderId="12" xfId="0" applyNumberFormat="1" applyFont="1" applyFill="1" applyBorder="1" applyAlignment="1">
      <x:alignment horizontal="center" vertical="top" wrapText="1"/>
    </x:xf>
    <x:xf numFmtId="0" fontId="4" fillId="4" borderId="12" xfId="0" applyNumberFormat="1" applyFont="1" applyFill="1" applyBorder="1" applyAlignment="1">
      <x:alignment horizontal="center" vertical="center" wrapText="1"/>
    </x:xf>
    <x:xf numFmtId="0" fontId="7" fillId="0" borderId="0" xfId="0" applyNumberFormat="1" applyFont="1" applyFill="1" applyBorder="1" applyAlignment="1">
      <x:alignment vertical="top"/>
    </x:xf>
    <x:xf numFmtId="0" fontId="7" fillId="0" borderId="13" xfId="0" applyNumberFormat="1" applyFont="1" applyFill="1" applyBorder="1" applyAlignment="1">
      <x:alignment vertical="top"/>
    </x:xf>
    <x:xf numFmtId="0" fontId="7" fillId="0" borderId="13"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6" borderId="13" xfId="0" applyNumberFormat="1" applyFont="1" applyFill="1" applyBorder="1" applyAlignment="1">
      <x:alignment vertical="top" wrapText="1"/>
    </x:xf>
    <x:xf numFmtId="0" fontId="7" fillId="11" borderId="13" xfId="0" applyNumberFormat="1" applyFont="1" applyFill="1" applyBorder="1" applyAlignment="1">
      <x:alignment vertical="top" wrapText="1"/>
    </x:xf>
    <x:xf numFmtId="0" fontId="12" fillId="3" borderId="0" xfId="0" applyNumberFormat="1" applyFont="1" applyFill="1" applyBorder="1" applyAlignment="1">
      <x:alignment vertical="top"/>
    </x:xf>
    <x:xf numFmtId="0" fontId="12" fillId="3" borderId="14" xfId="0" applyNumberFormat="1" applyFont="1" applyFill="1" applyBorder="1" applyAlignment="1">
      <x:alignment vertical="top"/>
    </x:xf>
    <x:xf numFmtId="0" fontId="12" fillId="3" borderId="15" xfId="0" applyNumberFormat="1" applyFont="1" applyFill="1" applyBorder="1" applyAlignment="1">
      <x:alignment vertical="top"/>
    </x:xf>
    <x:xf numFmtId="0" fontId="12" fillId="3" borderId="16" xfId="0" applyNumberFormat="1" applyFont="1" applyFill="1" applyBorder="1" applyAlignment="1">
      <x:alignment vertical="top"/>
    </x:xf>
    <x:xf numFmtId="0" fontId="12" fillId="3" borderId="17" xfId="0" applyNumberFormat="1" applyFont="1" applyFill="1" applyBorder="1" applyAlignment="1">
      <x:alignment vertical="top"/>
    </x:xf>
    <x:xf numFmtId="0" fontId="12" fillId="3" borderId="18" xfId="0" applyNumberFormat="1" applyFont="1" applyFill="1" applyBorder="1" applyAlignment="1">
      <x:alignment vertical="top"/>
    </x:xf>
    <x:xf numFmtId="0" fontId="12" fillId="3" borderId="19" xfId="0" applyNumberFormat="1" applyFont="1" applyFill="1" applyBorder="1" applyAlignment="1">
      <x:alignment vertical="top"/>
    </x:xf>
    <x:xf numFmtId="0" fontId="12" fillId="3" borderId="14" xfId="0" applyNumberFormat="1" applyFont="1" applyFill="1" applyBorder="1" applyAlignment="1">
      <x:alignment vertical="top" wrapText="1"/>
    </x:xf>
    <x:xf numFmtId="0" fontId="12" fillId="3" borderId="15" xfId="0" applyNumberFormat="1" applyFont="1" applyFill="1" applyBorder="1" applyAlignment="1">
      <x:alignment vertical="top" wrapText="1"/>
    </x:xf>
    <x:xf numFmtId="0" fontId="12" fillId="3" borderId="16" xfId="0" applyNumberFormat="1" applyFont="1" applyFill="1" applyBorder="1" applyAlignment="1">
      <x:alignment vertical="top" wrapText="1"/>
    </x:xf>
    <x:xf numFmtId="0" fontId="12" fillId="3" borderId="17" xfId="0" applyNumberFormat="1" applyFont="1" applyFill="1" applyBorder="1" applyAlignment="1">
      <x:alignment vertical="top" wrapText="1"/>
    </x:xf>
    <x:xf numFmtId="0" fontId="12" fillId="3" borderId="18" xfId="0" applyNumberFormat="1" applyFont="1" applyFill="1" applyBorder="1" applyAlignment="1">
      <x:alignment vertical="top" wrapText="1"/>
    </x:xf>
    <x:xf numFmtId="0" fontId="12" fillId="3" borderId="19" xfId="0" applyNumberFormat="1" applyFont="1" applyFill="1" applyBorder="1" applyAlignment="1">
      <x:alignment vertical="top" wrapText="1"/>
    </x:xf>
    <x:xf numFmtId="0" fontId="12" fillId="3" borderId="14" xfId="0" applyNumberFormat="1" applyFont="1" applyFill="1" applyBorder="1" applyAlignment="1">
      <x:alignment vertical="center" wrapText="1"/>
    </x:xf>
    <x:xf numFmtId="0" fontId="12" fillId="3" borderId="15" xfId="0" applyNumberFormat="1" applyFont="1" applyFill="1" applyBorder="1" applyAlignment="1">
      <x:alignment vertical="center" wrapText="1"/>
    </x:xf>
    <x:xf numFmtId="0" fontId="12" fillId="3" borderId="16" xfId="0" applyNumberFormat="1" applyFont="1" applyFill="1" applyBorder="1" applyAlignment="1">
      <x:alignment vertical="center" wrapText="1"/>
    </x:xf>
    <x:xf numFmtId="0" fontId="12" fillId="3" borderId="17" xfId="0" applyNumberFormat="1" applyFont="1" applyFill="1" applyBorder="1" applyAlignment="1">
      <x:alignment vertical="center" wrapText="1"/>
    </x:xf>
    <x:xf numFmtId="0" fontId="12" fillId="3" borderId="18" xfId="0" applyNumberFormat="1" applyFont="1" applyFill="1" applyBorder="1" applyAlignment="1">
      <x:alignment vertical="center" wrapText="1"/>
    </x:xf>
    <x:xf numFmtId="0" fontId="12" fillId="3" borderId="19" xfId="0" applyNumberFormat="1" applyFont="1" applyFill="1" applyBorder="1" applyAlignment="1">
      <x:alignment vertical="center" wrapText="1"/>
    </x:xf>
    <x:xf numFmtId="0" fontId="9" fillId="9" borderId="20" xfId="0" applyNumberFormat="1" applyFont="1" applyFill="1" applyBorder="1" applyAlignment="1">
      <x:alignment vertical="top"/>
    </x:xf>
    <x:xf numFmtId="0" fontId="9" fillId="9" borderId="21" xfId="0" applyNumberFormat="1" applyFont="1" applyFill="1" applyBorder="1" applyAlignment="1">
      <x:alignment vertical="top"/>
    </x:xf>
    <x:xf numFmtId="0" fontId="9" fillId="9" borderId="22" xfId="0" applyNumberFormat="1" applyFont="1" applyFill="1" applyBorder="1" applyAlignment="1">
      <x:alignment vertical="top"/>
    </x:xf>
    <x:xf numFmtId="0" fontId="9" fillId="9" borderId="23" xfId="0" applyNumberFormat="1" applyFont="1" applyFill="1" applyBorder="1" applyAlignment="1">
      <x:alignment vertical="top"/>
    </x:xf>
    <x:xf numFmtId="0" fontId="9" fillId="9" borderId="24" xfId="0" applyNumberFormat="1" applyFont="1" applyFill="1" applyBorder="1" applyAlignment="1">
      <x:alignment vertical="top"/>
    </x:xf>
    <x:xf numFmtId="0" fontId="9" fillId="9" borderId="25" xfId="0" applyNumberFormat="1" applyFont="1" applyFill="1" applyBorder="1" applyAlignment="1">
      <x:alignment vertical="top"/>
    </x:xf>
    <x:xf numFmtId="0" fontId="9" fillId="9" borderId="20" xfId="0" applyNumberFormat="1" applyFont="1" applyFill="1" applyBorder="1" applyAlignment="1">
      <x:alignment vertical="top" wrapText="1"/>
    </x:xf>
    <x:xf numFmtId="0" fontId="9" fillId="9" borderId="21" xfId="0" applyNumberFormat="1" applyFont="1" applyFill="1" applyBorder="1" applyAlignment="1">
      <x:alignment vertical="top" wrapText="1"/>
    </x:xf>
    <x:xf numFmtId="0" fontId="9" fillId="9" borderId="22" xfId="0" applyNumberFormat="1" applyFont="1" applyFill="1" applyBorder="1" applyAlignment="1">
      <x:alignment vertical="top" wrapText="1"/>
    </x:xf>
    <x:xf numFmtId="0" fontId="9" fillId="9" borderId="23" xfId="0" applyNumberFormat="1" applyFont="1" applyFill="1" applyBorder="1" applyAlignment="1">
      <x:alignment vertical="top" wrapText="1"/>
    </x:xf>
    <x:xf numFmtId="0" fontId="9" fillId="9" borderId="24" xfId="0" applyNumberFormat="1" applyFont="1" applyFill="1" applyBorder="1" applyAlignment="1">
      <x:alignment vertical="top" wrapText="1"/>
    </x:xf>
    <x:xf numFmtId="0" fontId="9" fillId="9" borderId="25" xfId="0" applyNumberFormat="1" applyFont="1" applyFill="1" applyBorder="1" applyAlignment="1">
      <x:alignment vertical="top" wrapText="1"/>
    </x:xf>
    <x:xf numFmtId="0" fontId="9" fillId="9" borderId="20" xfId="0" applyNumberFormat="1" applyFont="1" applyFill="1" applyBorder="1" applyAlignment="1">
      <x:alignment vertical="center" wrapText="1"/>
    </x:xf>
    <x:xf numFmtId="0" fontId="9" fillId="9" borderId="21" xfId="0" applyNumberFormat="1" applyFont="1" applyFill="1" applyBorder="1" applyAlignment="1">
      <x:alignment vertical="center" wrapText="1"/>
    </x:xf>
    <x:xf numFmtId="0" fontId="9" fillId="9" borderId="22" xfId="0" applyNumberFormat="1" applyFont="1" applyFill="1" applyBorder="1" applyAlignment="1">
      <x:alignment vertical="center" wrapText="1"/>
    </x:xf>
    <x:xf numFmtId="0" fontId="9" fillId="9" borderId="23" xfId="0" applyNumberFormat="1" applyFont="1" applyFill="1" applyBorder="1" applyAlignment="1">
      <x:alignment vertical="center" wrapText="1"/>
    </x:xf>
    <x:xf numFmtId="0" fontId="9" fillId="9" borderId="24" xfId="0" applyNumberFormat="1" applyFont="1" applyFill="1" applyBorder="1" applyAlignment="1">
      <x:alignment vertical="center" wrapText="1"/>
    </x:xf>
    <x:xf numFmtId="0" fontId="9" fillId="9" borderId="25" xfId="0" applyNumberFormat="1" applyFont="1" applyFill="1" applyBorder="1" applyAlignment="1">
      <x:alignment vertical="center" wrapText="1"/>
    </x:xf>
    <x:xf numFmtId="0" fontId="11" fillId="6" borderId="26" xfId="0" applyNumberFormat="1" applyFont="1" applyFill="1" applyBorder="1" applyAlignment="1">
      <x:alignment vertical="top"/>
    </x:xf>
    <x:xf numFmtId="0" fontId="11" fillId="6" borderId="27" xfId="0" applyNumberFormat="1" applyFont="1" applyFill="1" applyBorder="1" applyAlignment="1">
      <x:alignment vertical="top"/>
    </x:xf>
    <x:xf numFmtId="0" fontId="11" fillId="6" borderId="28" xfId="0" applyNumberFormat="1" applyFont="1" applyFill="1" applyBorder="1" applyAlignment="1">
      <x:alignment vertical="top"/>
    </x:xf>
    <x:xf numFmtId="0" fontId="11" fillId="6" borderId="29" xfId="0" applyNumberFormat="1" applyFont="1" applyFill="1" applyBorder="1" applyAlignment="1">
      <x:alignment vertical="top"/>
    </x:xf>
    <x:xf numFmtId="0" fontId="11" fillId="6" borderId="30" xfId="0" applyNumberFormat="1" applyFont="1" applyFill="1" applyBorder="1" applyAlignment="1">
      <x:alignment vertical="top"/>
    </x:xf>
    <x:xf numFmtId="0" fontId="11" fillId="6" borderId="31" xfId="0" applyNumberFormat="1" applyFont="1" applyFill="1" applyBorder="1" applyAlignment="1">
      <x:alignment vertical="top"/>
    </x:xf>
    <x:xf numFmtId="0" fontId="11" fillId="6" borderId="26" xfId="0" applyNumberFormat="1" applyFont="1" applyFill="1" applyBorder="1" applyAlignment="1">
      <x:alignment vertical="top" wrapText="1"/>
    </x:xf>
    <x:xf numFmtId="0" fontId="11" fillId="6" borderId="27" xfId="0" applyNumberFormat="1" applyFont="1" applyFill="1" applyBorder="1" applyAlignment="1">
      <x:alignment vertical="top" wrapText="1"/>
    </x:xf>
    <x:xf numFmtId="0" fontId="11" fillId="6" borderId="28" xfId="0" applyNumberFormat="1" applyFont="1" applyFill="1" applyBorder="1" applyAlignment="1">
      <x:alignment vertical="top" wrapText="1"/>
    </x:xf>
    <x:xf numFmtId="0" fontId="11" fillId="6" borderId="29" xfId="0" applyNumberFormat="1" applyFont="1" applyFill="1" applyBorder="1" applyAlignment="1">
      <x:alignment vertical="top" wrapText="1"/>
    </x:xf>
    <x:xf numFmtId="0" fontId="11" fillId="6" borderId="30" xfId="0" applyNumberFormat="1" applyFont="1" applyFill="1" applyBorder="1" applyAlignment="1">
      <x:alignment vertical="top" wrapText="1"/>
    </x:xf>
    <x:xf numFmtId="0" fontId="11" fillId="6" borderId="31" xfId="0" applyNumberFormat="1" applyFont="1" applyFill="1" applyBorder="1" applyAlignment="1">
      <x:alignment vertical="top" wrapText="1"/>
    </x:xf>
    <x:xf numFmtId="0" fontId="11" fillId="6" borderId="26" xfId="0" applyNumberFormat="1" applyFont="1" applyFill="1" applyBorder="1" applyAlignment="1">
      <x:alignment vertical="center" wrapText="1"/>
    </x:xf>
    <x:xf numFmtId="0" fontId="11" fillId="6" borderId="27" xfId="0" applyNumberFormat="1" applyFont="1" applyFill="1" applyBorder="1" applyAlignment="1">
      <x:alignment vertical="center" wrapText="1"/>
    </x:xf>
    <x:xf numFmtId="0" fontId="11" fillId="6" borderId="28" xfId="0" applyNumberFormat="1" applyFont="1" applyFill="1" applyBorder="1" applyAlignment="1">
      <x:alignment vertical="center" wrapText="1"/>
    </x:xf>
    <x:xf numFmtId="0" fontId="11" fillId="6" borderId="29" xfId="0" applyNumberFormat="1" applyFont="1" applyFill="1" applyBorder="1" applyAlignment="1">
      <x:alignment vertical="center" wrapText="1"/>
    </x:xf>
    <x:xf numFmtId="0" fontId="11" fillId="6" borderId="30" xfId="0" applyNumberFormat="1" applyFont="1" applyFill="1" applyBorder="1" applyAlignment="1">
      <x:alignment vertical="center" wrapText="1"/>
    </x:xf>
    <x:xf numFmtId="0" fontId="11" fillId="6" borderId="31" xfId="0" applyNumberFormat="1" applyFont="1" applyFill="1" applyBorder="1" applyAlignment="1">
      <x:alignment vertical="center" wrapText="1"/>
    </x:xf>
    <x:xf numFmtId="0" fontId="1" fillId="10" borderId="32" xfId="0" applyNumberFormat="1" applyFont="1" applyFill="1" applyBorder="1" applyAlignment="1">
      <x:alignment vertical="top"/>
    </x:xf>
    <x:xf numFmtId="0" fontId="1" fillId="10" borderId="33" xfId="0" applyNumberFormat="1" applyFont="1" applyFill="1" applyBorder="1" applyAlignment="1">
      <x:alignment vertical="top"/>
    </x:xf>
    <x:xf numFmtId="0" fontId="1" fillId="10" borderId="34" xfId="0" applyNumberFormat="1" applyFont="1" applyFill="1" applyBorder="1" applyAlignment="1">
      <x:alignment vertical="top"/>
    </x:xf>
    <x:xf numFmtId="0" fontId="1" fillId="10" borderId="35" xfId="0" applyNumberFormat="1" applyFont="1" applyFill="1" applyBorder="1" applyAlignment="1">
      <x:alignment vertical="top"/>
    </x:xf>
    <x:xf numFmtId="0" fontId="1" fillId="10" borderId="36" xfId="0" applyNumberFormat="1" applyFont="1" applyFill="1" applyBorder="1" applyAlignment="1">
      <x:alignment vertical="top"/>
    </x:xf>
    <x:xf numFmtId="0" fontId="1" fillId="10" borderId="37" xfId="0" applyNumberFormat="1" applyFont="1" applyFill="1" applyBorder="1" applyAlignment="1">
      <x:alignment vertical="top"/>
    </x:xf>
    <x:xf numFmtId="0" fontId="1" fillId="10" borderId="32" xfId="0" applyNumberFormat="1" applyFont="1" applyFill="1" applyBorder="1" applyAlignment="1">
      <x:alignment vertical="top" wrapText="1"/>
    </x:xf>
    <x:xf numFmtId="0" fontId="1" fillId="10" borderId="33" xfId="0" applyNumberFormat="1" applyFont="1" applyFill="1" applyBorder="1" applyAlignment="1">
      <x:alignment vertical="top" wrapText="1"/>
    </x:xf>
    <x:xf numFmtId="0" fontId="1" fillId="10" borderId="34" xfId="0" applyNumberFormat="1" applyFont="1" applyFill="1" applyBorder="1" applyAlignment="1">
      <x:alignment vertical="top" wrapText="1"/>
    </x:xf>
    <x:xf numFmtId="0" fontId="1" fillId="10" borderId="35" xfId="0" applyNumberFormat="1" applyFont="1" applyFill="1" applyBorder="1" applyAlignment="1">
      <x:alignment vertical="top" wrapText="1"/>
    </x:xf>
    <x:xf numFmtId="0" fontId="1" fillId="10" borderId="36" xfId="0" applyNumberFormat="1" applyFont="1" applyFill="1" applyBorder="1" applyAlignment="1">
      <x:alignment vertical="top" wrapText="1"/>
    </x:xf>
    <x:xf numFmtId="0" fontId="1" fillId="10" borderId="37" xfId="0" applyNumberFormat="1" applyFont="1" applyFill="1" applyBorder="1" applyAlignment="1">
      <x:alignment vertical="top" wrapText="1"/>
    </x:xf>
    <x:xf numFmtId="0" fontId="1" fillId="10" borderId="32" xfId="0" applyNumberFormat="1" applyFont="1" applyFill="1" applyBorder="1" applyAlignment="1">
      <x:alignment vertical="center" wrapText="1"/>
    </x:xf>
    <x:xf numFmtId="0" fontId="1" fillId="10" borderId="33" xfId="0" applyNumberFormat="1" applyFont="1" applyFill="1" applyBorder="1" applyAlignment="1">
      <x:alignment vertical="center" wrapText="1"/>
    </x:xf>
    <x:xf numFmtId="0" fontId="1" fillId="10" borderId="34" xfId="0" applyNumberFormat="1" applyFont="1" applyFill="1" applyBorder="1" applyAlignment="1">
      <x:alignment vertical="center" wrapText="1"/>
    </x:xf>
    <x:xf numFmtId="0" fontId="1" fillId="10" borderId="35" xfId="0" applyNumberFormat="1" applyFont="1" applyFill="1" applyBorder="1" applyAlignment="1">
      <x:alignment vertical="center" wrapText="1"/>
    </x:xf>
    <x:xf numFmtId="0" fontId="1" fillId="10" borderId="36" xfId="0" applyNumberFormat="1" applyFont="1" applyFill="1" applyBorder="1" applyAlignment="1">
      <x:alignment vertical="center" wrapText="1"/>
    </x:xf>
    <x:xf numFmtId="0" fontId="1" fillId="10" borderId="37" xfId="0" applyNumberFormat="1" applyFont="1" applyFill="1" applyBorder="1" applyAlignment="1">
      <x:alignment vertical="center" wrapText="1"/>
    </x:xf>
    <x:xf numFmtId="0" fontId="7" fillId="0" borderId="0" xfId="0" applyNumberFormat="1" applyFont="1" applyFill="1" applyBorder="1"/>
    <x:xf numFmtId="0" fontId="7" fillId="0" borderId="8" xfId="0" applyNumberFormat="1" applyFont="1" applyFill="1" applyBorder="1" applyAlignment="1">
      <x:alignment vertical="top"/>
    </x:xf>
    <x:xf numFmtId="0" fontId="7" fillId="0" borderId="8" xfId="0" applyNumberFormat="1" applyFont="1" applyFill="1" applyBorder="1"/>
    <x:xf numFmtId="0" fontId="7" fillId="0" borderId="8" xfId="0" applyNumberFormat="1" applyFont="1" applyFill="1" applyBorder="1" applyAlignment="1">
      <x:alignment vertical="top" wrapText="1"/>
    </x:xf>
    <x:xf numFmtId="0" fontId="7" fillId="0" borderId="8" xfId="0" applyNumberFormat="1" applyFont="1" applyFill="1" applyBorder="1" applyAlignment="1">
      <x:alignment wrapText="1"/>
    </x:xf>
    <x:xf numFmtId="0" fontId="7" fillId="10" borderId="13"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5" fillId="3" borderId="2" xfId="0" applyNumberFormat="1" applyFont="1" applyFill="1" applyBorder="1" applyAlignment="1">
      <x:alignment horizontal="center" vertical="top"/>
    </x:xf>
    <x:xf numFmtId="0" fontId="5" fillId="3" borderId="3" xfId="0" applyNumberFormat="1" applyFont="1" applyFill="1" applyBorder="1" applyAlignment="1">
      <x:alignment horizontal="center" vertical="top"/>
    </x:xf>
    <x:xf numFmtId="0" fontId="5" fillId="3" borderId="4" xfId="0" applyNumberFormat="1" applyFont="1" applyFill="1" applyBorder="1" applyAlignment="1">
      <x:alignment horizontal="center" vertical="top"/>
    </x:xf>
    <x:xf numFmtId="0" fontId="5" fillId="3" borderId="2" xfId="0" applyNumberFormat="1" applyFont="1" applyFill="1" applyBorder="1" applyAlignment="1">
      <x:alignment horizontal="center" vertical="center"/>
    </x:xf>
    <x:xf numFmtId="0" fontId="5" fillId="3" borderId="3" xfId="0" applyNumberFormat="1" applyFont="1" applyFill="1" applyBorder="1" applyAlignment="1">
      <x:alignment horizontal="center" vertical="center"/>
    </x:xf>
    <x:xf numFmtId="0" fontId="5" fillId="3" borderId="4" xfId="0" applyNumberFormat="1" applyFont="1" applyFill="1" applyBorder="1" applyAlignment="1">
      <x:alignment horizontal="center" vertical="center"/>
    </x:xf>
    <x:xf numFmtId="201" fontId="5" fillId="3" borderId="2" xfId="0" applyNumberFormat="1" applyFont="1" applyFill="1" applyBorder="1" applyAlignment="1">
      <x:alignment horizontal="center" vertical="center"/>
    </x:xf>
    <x:xf numFmtId="201" fontId="5" fillId="3" borderId="3" xfId="0" applyNumberFormat="1" applyFont="1" applyFill="1" applyBorder="1" applyAlignment="1">
      <x:alignment horizontal="center" vertical="center"/>
    </x:xf>
    <x:xf numFmtId="201" fontId="5" fillId="3" borderId="4" xfId="0" applyNumberFormat="1" applyFont="1" applyFill="1" applyBorder="1" applyAlignment="1">
      <x:alignment horizontal="center" vertical="center"/>
    </x:xf>
    <x:xf numFmtId="200" fontId="7" fillId="6" borderId="13" xfId="0" applyNumberFormat="1" applyFont="1" applyFill="1" applyBorder="1" applyAlignment="1">
      <x:alignment vertical="top" wrapText="1"/>
    </x:xf>
    <x:xf numFmtId="200" fontId="7" fillId="6" borderId="8" xfId="0" applyNumberFormat="1" applyFont="1" applyFill="1" applyBorder="1" applyAlignment="1">
      <x:alignment vertical="top" wrapText="1"/>
    </x:xf>
    <x:xf numFmtId="0" fontId="7" fillId="6" borderId="8" xfId="0" applyNumberFormat="1" applyFont="1" applyFill="1" applyBorder="1" applyAlignment="1">
      <x:alignment vertical="top"/>
    </x:xf>
    <x:xf numFmtId="0" fontId="7" fillId="6" borderId="8" xfId="0" applyNumberFormat="1" applyFont="1" applyFill="1" applyBorder="1" applyAlignment="1">
      <x:alignment vertical="center" wrapText="1"/>
    </x:xf>
    <x:xf numFmtId="200" fontId="7" fillId="6" borderId="8" xfId="0" applyNumberFormat="1" applyFont="1" applyFill="1" applyBorder="1" applyAlignment="1">
      <x:alignment vertical="center" wrapText="1"/>
    </x:xf>
    <x:xf numFmtId="0" fontId="7" fillId="9" borderId="13" xfId="0" applyNumberFormat="1" applyFont="1" applyFill="1" applyBorder="1" applyAlignment="1">
      <x:alignment vertical="top" wrapText="1"/>
    </x:xf>
    <x:xf numFmtId="0" fontId="7" fillId="12" borderId="8" xfId="0" applyNumberFormat="1" applyFont="1" applyFill="1" applyBorder="1" applyAlignment="1">
      <x:alignment vertical="top" wrapText="1"/>
    </x:xf>
    <x:xf numFmtId="0" fontId="7" fillId="13" borderId="8"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4" fillId="14" borderId="8" xfId="0" applyNumberFormat="1" applyFont="1" applyFill="1" applyBorder="1" applyAlignment="1">
      <x:alignment vertical="top" wrapText="1"/>
    </x:xf>
    <x:xf numFmtId="0" fontId="1" fillId="3" borderId="14" xfId="0" applyNumberFormat="1" applyFont="1" applyFill="1" applyBorder="1" applyAlignment="1">
      <x:alignment vertical="top"/>
    </x:xf>
    <x:xf numFmtId="0" fontId="1" fillId="3" borderId="15" xfId="0" applyNumberFormat="1" applyFont="1" applyFill="1" applyBorder="1" applyAlignment="1">
      <x:alignment vertical="top"/>
    </x:xf>
    <x:xf numFmtId="0" fontId="1" fillId="3" borderId="16" xfId="0" applyNumberFormat="1" applyFont="1" applyFill="1" applyBorder="1" applyAlignment="1">
      <x:alignment vertical="top"/>
    </x:xf>
    <x:xf numFmtId="0" fontId="1" fillId="3" borderId="38" xfId="0" applyNumberFormat="1" applyFont="1" applyFill="1" applyBorder="1" applyAlignment="1">
      <x:alignment vertical="top"/>
    </x:xf>
    <x:xf numFmtId="0" fontId="1" fillId="3" borderId="39" xfId="0" applyNumberFormat="1" applyFont="1" applyFill="1" applyBorder="1" applyAlignment="1">
      <x:alignment vertical="top"/>
    </x:xf>
    <x:xf numFmtId="0" fontId="1" fillId="3" borderId="17" xfId="0" applyNumberFormat="1" applyFont="1" applyFill="1" applyBorder="1" applyAlignment="1">
      <x:alignment vertical="top"/>
    </x:xf>
    <x:xf numFmtId="0" fontId="1" fillId="3" borderId="18" xfId="0" applyNumberFormat="1" applyFont="1" applyFill="1" applyBorder="1" applyAlignment="1">
      <x:alignment vertical="top"/>
    </x:xf>
    <x:xf numFmtId="0" fontId="1" fillId="3" borderId="19" xfId="0" applyNumberFormat="1" applyFont="1" applyFill="1" applyBorder="1" applyAlignment="1">
      <x:alignment vertical="top"/>
    </x:xf>
    <x:xf numFmtId="0" fontId="1" fillId="3" borderId="14"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3" borderId="16" xfId="0" applyNumberFormat="1" applyFont="1" applyFill="1" applyBorder="1" applyAlignment="1">
      <x:alignment vertical="top" wrapText="1"/>
    </x:xf>
    <x:xf numFmtId="0" fontId="1" fillId="3" borderId="38"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39" xfId="0" applyNumberFormat="1" applyFont="1" applyFill="1" applyBorder="1" applyAlignment="1">
      <x:alignment vertical="top" wrapText="1"/>
    </x:xf>
    <x:xf numFmtId="0" fontId="1" fillId="3" borderId="17" xfId="0" applyNumberFormat="1" applyFont="1" applyFill="1" applyBorder="1" applyAlignment="1">
      <x:alignment vertical="top" wrapText="1"/>
    </x:xf>
    <x:xf numFmtId="0" fontId="1" fillId="3" borderId="18" xfId="0" applyNumberFormat="1" applyFont="1" applyFill="1" applyBorder="1" applyAlignment="1">
      <x:alignment vertical="top" wrapText="1"/>
    </x:xf>
    <x:xf numFmtId="0" fontId="1" fillId="3" borderId="19" xfId="0" applyNumberFormat="1" applyFont="1" applyFill="1" applyBorder="1" applyAlignment="1">
      <x:alignment vertical="top" wrapText="1"/>
    </x:xf>
    <x:xf numFmtId="0" fontId="1" fillId="3" borderId="14" xfId="0" applyNumberFormat="1" applyFont="1" applyFill="1" applyBorder="1" applyAlignment="1">
      <x:alignment vertical="center" wrapText="1"/>
    </x:xf>
    <x:xf numFmtId="0" fontId="1" fillId="3" borderId="15" xfId="0" applyNumberFormat="1" applyFont="1" applyFill="1" applyBorder="1" applyAlignment="1">
      <x:alignment vertical="center" wrapText="1"/>
    </x:xf>
    <x:xf numFmtId="0" fontId="1" fillId="3" borderId="16" xfId="0" applyNumberFormat="1" applyFont="1" applyFill="1" applyBorder="1" applyAlignment="1">
      <x:alignment vertical="center" wrapText="1"/>
    </x:xf>
    <x:xf numFmtId="0" fontId="1" fillId="3" borderId="38"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39" xfId="0" applyNumberFormat="1" applyFont="1" applyFill="1" applyBorder="1" applyAlignment="1">
      <x:alignment vertical="center" wrapText="1"/>
    </x:xf>
    <x:xf numFmtId="0" fontId="1" fillId="3" borderId="17" xfId="0" applyNumberFormat="1" applyFont="1" applyFill="1" applyBorder="1" applyAlignment="1">
      <x:alignment vertical="center" wrapText="1"/>
    </x:xf>
    <x:xf numFmtId="0" fontId="1" fillId="3" borderId="18" xfId="0" applyNumberFormat="1" applyFont="1" applyFill="1" applyBorder="1" applyAlignment="1">
      <x:alignment vertical="center" wrapText="1"/>
    </x:xf>
    <x:xf numFmtId="0" fontId="1" fillId="3" borderId="19" xfId="0" applyNumberFormat="1" applyFont="1" applyFill="1" applyBorder="1" applyAlignment="1">
      <x:alignment vertical="center" wrapText="1"/>
    </x:xf>
    <x:xf numFmtId="0" fontId="1" fillId="9" borderId="20" xfId="0" applyNumberFormat="1" applyFont="1" applyFill="1" applyBorder="1" applyAlignment="1">
      <x:alignment vertical="top"/>
    </x:xf>
    <x:xf numFmtId="0" fontId="1" fillId="9" borderId="21" xfId="0" applyNumberFormat="1" applyFont="1" applyFill="1" applyBorder="1" applyAlignment="1">
      <x:alignment vertical="top"/>
    </x:xf>
    <x:xf numFmtId="0" fontId="1" fillId="9" borderId="22" xfId="0" applyNumberFormat="1" applyFont="1" applyFill="1" applyBorder="1" applyAlignment="1">
      <x:alignment vertical="top"/>
    </x:xf>
    <x:xf numFmtId="0" fontId="1" fillId="9" borderId="40" xfId="0" applyNumberFormat="1" applyFont="1" applyFill="1" applyBorder="1" applyAlignment="1">
      <x:alignment vertical="top"/>
    </x:xf>
    <x:xf numFmtId="0" fontId="1" fillId="9" borderId="41" xfId="0" applyNumberFormat="1" applyFont="1" applyFill="1" applyBorder="1" applyAlignment="1">
      <x:alignment vertical="top"/>
    </x:xf>
    <x:xf numFmtId="0" fontId="1" fillId="9" borderId="23" xfId="0" applyNumberFormat="1" applyFont="1" applyFill="1" applyBorder="1" applyAlignment="1">
      <x:alignment vertical="top"/>
    </x:xf>
    <x:xf numFmtId="0" fontId="1" fillId="9" borderId="24" xfId="0" applyNumberFormat="1" applyFont="1" applyFill="1" applyBorder="1" applyAlignment="1">
      <x:alignment vertical="top"/>
    </x:xf>
    <x:xf numFmtId="0" fontId="1" fillId="9" borderId="25" xfId="0" applyNumberFormat="1" applyFont="1" applyFill="1" applyBorder="1" applyAlignment="1">
      <x:alignment vertical="top"/>
    </x:xf>
    <x:xf numFmtId="0" fontId="1" fillId="9" borderId="20" xfId="0" applyNumberFormat="1" applyFont="1" applyFill="1" applyBorder="1" applyAlignment="1">
      <x:alignment vertical="top" wrapText="1"/>
    </x:xf>
    <x:xf numFmtId="0" fontId="1" fillId="9" borderId="21" xfId="0" applyNumberFormat="1" applyFont="1" applyFill="1" applyBorder="1" applyAlignment="1">
      <x:alignment vertical="top" wrapText="1"/>
    </x:xf>
    <x:xf numFmtId="0" fontId="1" fillId="9" borderId="22" xfId="0" applyNumberFormat="1" applyFont="1" applyFill="1" applyBorder="1" applyAlignment="1">
      <x:alignment vertical="top" wrapText="1"/>
    </x:xf>
    <x:xf numFmtId="0" fontId="1" fillId="9" borderId="4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9" borderId="41" xfId="0" applyNumberFormat="1" applyFont="1" applyFill="1" applyBorder="1" applyAlignment="1">
      <x:alignment vertical="top" wrapText="1"/>
    </x:xf>
    <x:xf numFmtId="0" fontId="1" fillId="9" borderId="23" xfId="0" applyNumberFormat="1" applyFont="1" applyFill="1" applyBorder="1" applyAlignment="1">
      <x:alignment vertical="top" wrapText="1"/>
    </x:xf>
    <x:xf numFmtId="0" fontId="1" fillId="9" borderId="24" xfId="0" applyNumberFormat="1" applyFont="1" applyFill="1" applyBorder="1" applyAlignment="1">
      <x:alignment vertical="top" wrapText="1"/>
    </x:xf>
    <x:xf numFmtId="0" fontId="1" fillId="9" borderId="25" xfId="0" applyNumberFormat="1" applyFont="1" applyFill="1" applyBorder="1" applyAlignment="1">
      <x:alignment vertical="top" wrapText="1"/>
    </x:xf>
    <x:xf numFmtId="0" fontId="1" fillId="9" borderId="20" xfId="0" applyNumberFormat="1" applyFont="1" applyFill="1" applyBorder="1" applyAlignment="1">
      <x:alignment vertical="center" wrapText="1"/>
    </x:xf>
    <x:xf numFmtId="0" fontId="1" fillId="9" borderId="21" xfId="0" applyNumberFormat="1" applyFont="1" applyFill="1" applyBorder="1" applyAlignment="1">
      <x:alignment vertical="center" wrapText="1"/>
    </x:xf>
    <x:xf numFmtId="0" fontId="1" fillId="9" borderId="22" xfId="0" applyNumberFormat="1" applyFont="1" applyFill="1" applyBorder="1" applyAlignment="1">
      <x:alignment vertical="center" wrapText="1"/>
    </x:xf>
    <x:xf numFmtId="0" fontId="1" fillId="9" borderId="4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1" fillId="9" borderId="41" xfId="0" applyNumberFormat="1" applyFont="1" applyFill="1" applyBorder="1" applyAlignment="1">
      <x:alignment vertical="center" wrapText="1"/>
    </x:xf>
    <x:xf numFmtId="0" fontId="1" fillId="9" borderId="23" xfId="0" applyNumberFormat="1" applyFont="1" applyFill="1" applyBorder="1" applyAlignment="1">
      <x:alignment vertical="center" wrapText="1"/>
    </x:xf>
    <x:xf numFmtId="0" fontId="1" fillId="9" borderId="24" xfId="0" applyNumberFormat="1" applyFont="1" applyFill="1" applyBorder="1" applyAlignment="1">
      <x:alignment vertical="center" wrapText="1"/>
    </x:xf>
    <x:xf numFmtId="0" fontId="1" fillId="9" borderId="25" xfId="0" applyNumberFormat="1" applyFont="1" applyFill="1" applyBorder="1" applyAlignment="1">
      <x:alignment vertical="center" wrapText="1"/>
    </x:xf>
    <x:xf numFmtId="0" fontId="13" fillId="3" borderId="0" xfId="0" applyNumberFormat="1" applyFont="1" applyFill="1" applyBorder="1" applyAlignment="1">
      <x:alignment vertical="top"/>
    </x:xf>
    <x:xf numFmtId="0" fontId="13" fillId="3" borderId="8" xfId="0" applyNumberFormat="1" applyFont="1" applyFill="1" applyBorder="1" applyAlignment="1">
      <x:alignment vertical="top"/>
    </x:xf>
    <x:xf numFmtId="0" fontId="13" fillId="3" borderId="8" xfId="0" applyNumberFormat="1" applyFont="1" applyFill="1" applyBorder="1" applyAlignment="1">
      <x:alignment vertical="top" wrapText="1"/>
    </x:xf>
    <x:xf numFmtId="0" fontId="7" fillId="3" borderId="0" xfId="0" applyNumberFormat="1" applyFont="1" applyFill="1" applyBorder="1" applyAlignment="1">
      <x:alignment vertical="top"/>
    </x:xf>
    <x:xf numFmtId="0" fontId="7" fillId="3" borderId="8" xfId="0" applyNumberFormat="1" applyFont="1" applyFill="1" applyBorder="1" applyAlignment="1">
      <x:alignment vertical="top"/>
    </x:xf>
    <x:xf numFmtId="0" fontId="14" fillId="3" borderId="0" xfId="0" applyNumberFormat="1" applyFont="1" applyFill="1" applyBorder="1" applyAlignment="1">
      <x:alignment vertical="top"/>
    </x:xf>
    <x:xf numFmtId="0" fontId="14" fillId="3" borderId="8" xfId="0" applyNumberFormat="1" applyFont="1" applyFill="1" applyBorder="1" applyAlignment="1">
      <x:alignment vertical="top"/>
    </x:xf>
    <x:xf numFmtId="0" fontId="14" fillId="3" borderId="8" xfId="0" applyNumberFormat="1" applyFont="1" applyFill="1" applyBorder="1" applyAlignment="1">
      <x:alignment vertical="top" wrapText="1"/>
    </x:xf>
    <x:xf numFmtId="0" fontId="15" fillId="3" borderId="0" xfId="0" applyNumberFormat="1" applyFont="1" applyFill="1" applyBorder="1" applyAlignment="1">
      <x:alignment vertical="top"/>
    </x:xf>
    <x:xf numFmtId="0" fontId="15" fillId="3" borderId="8" xfId="0" applyNumberFormat="1" applyFont="1" applyFill="1" applyBorder="1" applyAlignment="1">
      <x:alignment vertical="top"/>
    </x:xf>
    <x:xf numFmtId="0" fontId="15" fillId="3" borderId="8" xfId="0" applyNumberFormat="1" applyFont="1" applyFill="1" applyBorder="1" applyAlignment="1">
      <x:alignment vertical="top" wrapText="1"/>
    </x:xf>
    <x:xf numFmtId="0" fontId="13" fillId="11" borderId="0" xfId="0" applyNumberFormat="1" applyFont="1" applyFill="1" applyBorder="1" applyAlignment="1">
      <x:alignment vertical="top"/>
    </x:xf>
    <x:xf numFmtId="0" fontId="13" fillId="11" borderId="8" xfId="0" applyNumberFormat="1" applyFont="1" applyFill="1" applyBorder="1" applyAlignment="1">
      <x:alignment vertical="top"/>
    </x:xf>
    <x:xf numFmtId="0" fontId="13" fillId="11" borderId="8" xfId="0" applyNumberFormat="1" applyFont="1" applyFill="1" applyBorder="1" applyAlignment="1">
      <x:alignment vertical="top" wrapText="1"/>
    </x:xf>
    <x:xf numFmtId="0" fontId="14" fillId="11" borderId="0" xfId="0" applyNumberFormat="1" applyFont="1" applyFill="1" applyBorder="1" applyAlignment="1">
      <x:alignment vertical="top"/>
    </x:xf>
    <x:xf numFmtId="0" fontId="14" fillId="11" borderId="8" xfId="0" applyNumberFormat="1" applyFont="1" applyFill="1" applyBorder="1" applyAlignment="1">
      <x:alignment vertical="top"/>
    </x:xf>
    <x:xf numFmtId="0" fontId="14" fillId="11" borderId="8" xfId="0" applyNumberFormat="1" applyFont="1" applyFill="1" applyBorder="1" applyAlignment="1">
      <x:alignment vertical="top" wrapText="1"/>
    </x:xf>
    <x:xf numFmtId="0" fontId="15" fillId="11" borderId="0" xfId="0" applyNumberFormat="1" applyFont="1" applyFill="1" applyBorder="1" applyAlignment="1">
      <x:alignment vertical="top"/>
    </x:xf>
    <x:xf numFmtId="0" fontId="15" fillId="11" borderId="8" xfId="0" applyNumberFormat="1" applyFont="1" applyFill="1" applyBorder="1" applyAlignment="1">
      <x:alignment vertical="top"/>
    </x:xf>
    <x:xf numFmtId="0" fontId="15" fillId="11" borderId="8" xfId="0" applyNumberFormat="1" applyFont="1" applyFill="1" applyBorder="1" applyAlignment="1">
      <x:alignment vertical="top" wrapText="1"/>
    </x:xf>
    <x:xf numFmtId="0" fontId="16" fillId="2" borderId="0" xfId="0" applyNumberFormat="1" applyFont="1" applyFill="1" applyBorder="1" applyAlignment="1">
      <x:alignment vertical="top"/>
    </x:xf>
    <x:xf numFmtId="0" fontId="16" fillId="2" borderId="42" xfId="0" applyNumberFormat="1" applyFont="1" applyFill="1" applyBorder="1" applyAlignment="1">
      <x:alignment vertical="top"/>
    </x:xf>
    <x:xf numFmtId="0" fontId="16" fillId="2" borderId="42" xfId="0" applyNumberFormat="1" applyFont="1" applyFill="1" applyBorder="1" applyAlignment="1">
      <x:alignment vertical="top" wrapText="1"/>
    </x:xf>
    <x:xf numFmtId="0" fontId="16" fillId="2" borderId="0" xfId="0" applyNumberFormat="1" applyFont="1" applyFill="1" applyBorder="1" applyAlignment="1">
      <x:alignment vertical="top" wrapText="1"/>
    </x:xf>
    <x:xf numFmtId="0" fontId="17" fillId="2" borderId="0" xfId="0" applyNumberFormat="1" applyFont="1" applyFill="1" applyBorder="1" applyAlignment="1">
      <x:alignment vertical="top"/>
    </x:xf>
    <x:xf numFmtId="0" fontId="17" fillId="2" borderId="0" xfId="0" applyNumberFormat="1" applyFont="1" applyFill="1" applyBorder="1" applyAlignment="1">
      <x:alignment vertical="top" wrapText="1"/>
    </x:xf>
  </x:cellXfs>
  <x:cellStyles count="1">
    <x:cellStyle name="Normal" xfId="0"/>
  </x:cellStyles>
  <x:dxfs count="34">
    <x:dxf>
      <x:font>
        <x:b/>
        <x:color rgb="FF00635B"/>
      </x:font>
      <x:fill>
        <x:patternFill patternType="solid">
          <x:bgColor rgb="FFEDF6D7"/>
        </x:patternFill>
      </x:fill>
    </x:dxf>
    <x:dxf>
      <x:font>
        <x:b/>
        <x:color rgb="FF1F2A30"/>
      </x:font>
      <x:fill>
        <x:patternFill patternType="solid">
          <x:bgColor rgb="FFFFF3C4"/>
        </x:patternFill>
      </x:fill>
    </x:dxf>
    <x:dxf>
      <x:font>
        <x:b/>
        <x:color rgb="FF00635B"/>
      </x:font>
      <x:fill>
        <x:patternFill patternType="solid">
          <x:bgColor rgb="FFEDF6D7"/>
        </x:patternFill>
      </x:fill>
    </x:dxf>
    <x:dxf>
      <x:font>
        <x:b/>
        <x:color rgb="FF1F2A30"/>
      </x:font>
      <x:fill>
        <x:patternFill patternType="solid">
          <x:bgColor rgb="FFFFF3C4"/>
        </x:patternFill>
      </x:fill>
    </x:dxf>
    <x:dxf>
      <x:font>
        <x:b/>
        <x:color rgb="FF73808A"/>
      </x:font>
      <x:fill>
        <x:patternFill patternType="solid">
          <x:bgColor rgb="FFF4F7F8"/>
        </x:patternFill>
      </x:fill>
    </x:dxf>
    <x:dxf>
      <x:font>
        <x:b/>
        <x:color rgb="FFDA291C"/>
      </x:font>
      <x:fill>
        <x:patternFill patternType="solid">
          <x:bgColor rgb="FFFBE9E7"/>
        </x:patternFill>
      </x:fill>
    </x:dxf>
    <x:dxf>
      <x:font>
        <x:b/>
        <x:color rgb="FF1F2A30"/>
      </x:font>
      <x:fill>
        <x:patternFill patternType="solid">
          <x:bgColor rgb="FFFFF3C4"/>
        </x:patternFill>
      </x:fill>
    </x:dxf>
    <x:dxf>
      <x:font>
        <x:b/>
        <x:color rgb="FFDA291C"/>
      </x:font>
      <x:fill>
        <x:patternFill patternType="solid">
          <x:bgColor rgb="FFFBE9E7"/>
        </x:patternFill>
      </x:fill>
    </x:dxf>
    <x:dxf>
      <x:font>
        <x:b/>
        <x:color rgb="FF1F2A30"/>
      </x:font>
      <x:fill>
        <x:patternFill patternType="solid">
          <x:bgColor rgb="FFFFF3C4"/>
        </x:patternFill>
      </x:fill>
    </x:dxf>
    <x:dxf>
      <x:font>
        <x:b/>
        <x:color rgb="FF006298"/>
      </x:font>
      <x:fill>
        <x:patternFill patternType="solid">
          <x:bgColor rgb="FFE8F3F8"/>
        </x:patternFill>
      </x:fill>
    </x:dxf>
    <x:dxf>
      <x:font>
        <x:b/>
        <x:color rgb="FF00635B"/>
      </x:font>
      <x:fill>
        <x:patternFill patternType="solid">
          <x:bgColor rgb="FFEDF6D7"/>
        </x:patternFill>
      </x:fill>
    </x:dxf>
    <x:dxf>
      <x:font>
        <x:b/>
        <x:color rgb="FF00635B"/>
      </x:font>
      <x:fill>
        <x:patternFill patternType="solid">
          <x:bgColor rgb="FFEDF6D7"/>
        </x:patternFill>
      </x:fill>
    </x:dxf>
    <x:dxf>
      <x:font>
        <x:b/>
        <x:color rgb="FF1F2A30"/>
      </x:font>
      <x:fill>
        <x:patternFill patternType="solid">
          <x:bgColor rgb="FFFFF3C4"/>
        </x:patternFill>
      </x:fill>
    </x:dxf>
    <x:dxf>
      <x:font>
        <x:b/>
        <x:color rgb="FF7A3E00"/>
      </x:font>
      <x:fill>
        <x:patternFill patternType="solid">
          <x:bgColor rgb="FFFFE1B3"/>
        </x:patternFill>
      </x:fill>
    </x:dxf>
    <x:dxf>
      <x:font>
        <x:b/>
        <x:color rgb="FFFFFFFF"/>
      </x:font>
      <x:fill>
        <x:patternFill patternType="solid">
          <x:bgColor rgb="FFDA291C"/>
        </x:patternFill>
      </x:fill>
    </x:dxf>
    <x:dxf>
      <x:font>
        <x:b/>
        <x:color rgb="FF00635B"/>
      </x:font>
      <x:fill>
        <x:patternFill patternType="solid">
          <x:bgColor rgb="FFEDF6D7"/>
        </x:patternFill>
      </x:fill>
    </x:dxf>
    <x:dxf>
      <x:font>
        <x:b/>
        <x:color rgb="FF1F2A30"/>
      </x:font>
      <x:fill>
        <x:patternFill patternType="solid">
          <x:bgColor rgb="FFFFF3C4"/>
        </x:patternFill>
      </x:fill>
    </x:dxf>
    <x:dxf>
      <x:font>
        <x:b/>
        <x:color rgb="FF7A3E00"/>
      </x:font>
      <x:fill>
        <x:patternFill patternType="solid">
          <x:bgColor rgb="FFFFE1B3"/>
        </x:patternFill>
      </x:fill>
    </x:dxf>
    <x:dxf>
      <x:font>
        <x:b/>
        <x:color rgb="FFFFFFFF"/>
      </x:font>
      <x:fill>
        <x:patternFill patternType="solid">
          <x:bgColor rgb="FFDA291C"/>
        </x:patternFill>
      </x:fill>
    </x:dxf>
    <x:dxf>
      <x:font>
        <x:b/>
        <x:color rgb="FF00635B"/>
      </x:font>
      <x:fill>
        <x:patternFill patternType="solid">
          <x:bgColor rgb="FFEDF6D7"/>
        </x:patternFill>
      </x:fill>
    </x:dxf>
    <x:dxf>
      <x:font>
        <x:b/>
        <x:color rgb="FF73808A"/>
      </x:font>
      <x:fill>
        <x:patternFill patternType="solid">
          <x:bgColor rgb="FFF4F7F8"/>
        </x:patternFill>
      </x:fill>
    </x:dxf>
    <x:dxf>
      <x:font>
        <x:b/>
        <x:color rgb="FF00635B"/>
      </x:font>
      <x:fill>
        <x:patternFill patternType="solid">
          <x:bgColor rgb="FFEDF6D7"/>
        </x:patternFill>
      </x:fill>
    </x:dxf>
    <x:dxf>
      <x:font>
        <x:b/>
        <x:color rgb="FFDA291C"/>
      </x:font>
      <x:fill>
        <x:patternFill patternType="solid">
          <x:bgColor rgb="FFFBE9E7"/>
        </x:patternFill>
      </x:fill>
    </x:dxf>
    <x:dxf>
      <x:font>
        <x:b/>
        <x:color rgb="FF006298"/>
      </x:font>
      <x:fill>
        <x:patternFill patternType="solid">
          <x:bgColor rgb="FFE8F3F8"/>
        </x:patternFill>
      </x:fill>
    </x:dxf>
    <x:dxf>
      <x:font>
        <x:b/>
        <x:color rgb="FF00635B"/>
      </x:font>
      <x:fill>
        <x:patternFill patternType="solid">
          <x:bgColor rgb="FFEDF6D7"/>
        </x:patternFill>
      </x:fill>
    </x:dxf>
    <x:dxf>
      <x:font>
        <x:b/>
        <x:color rgb="FFDA291C"/>
      </x:font>
      <x:fill>
        <x:patternFill patternType="solid">
          <x:bgColor rgb="FFFBE9E7"/>
        </x:patternFill>
      </x:fill>
    </x:dxf>
    <x:dxf>
      <x:font>
        <x:b/>
        <x:color rgb="FF006298"/>
      </x:font>
      <x:fill>
        <x:patternFill patternType="solid">
          <x:bgColor rgb="FFE8F3F8"/>
        </x:patternFill>
      </x:fill>
    </x:dxf>
    <x:dxf>
      <x:font>
        <x:b/>
        <x:color rgb="FF00635B"/>
      </x:font>
      <x:fill>
        <x:patternFill patternType="solid">
          <x:bgColor rgb="FFEDF6D7"/>
        </x:patternFill>
      </x:fill>
    </x:dxf>
    <x:dxf>
      <x:font>
        <x:b/>
        <x:color rgb="FFDA291C"/>
      </x:font>
      <x:fill>
        <x:patternFill patternType="solid">
          <x:bgColor rgb="FFFBE9E7"/>
        </x:patternFill>
      </x:fill>
    </x:dxf>
    <x:dxf>
      <x:font>
        <x:b/>
        <x:color rgb="FF1F2A30"/>
      </x:font>
      <x:fill>
        <x:patternFill patternType="solid">
          <x:bgColor rgb="FFFFF3C4"/>
        </x:patternFill>
      </x:fill>
    </x:dxf>
    <x:dxf>
      <x:font>
        <x:b/>
        <x:color rgb="FF00635B"/>
      </x:font>
      <x:fill>
        <x:patternFill patternType="solid">
          <x:bgColor rgb="FFEDF6D7"/>
        </x:patternFill>
      </x:fill>
    </x:dxf>
    <x:dxf>
      <x:font>
        <x:b/>
        <x:color rgb="FF1F2A30"/>
      </x:font>
      <x:fill>
        <x:patternFill patternType="solid">
          <x:bgColor rgb="FFFFF3C4"/>
        </x:patternFill>
      </x:fill>
    </x:dxf>
    <x:dxf>
      <x:font>
        <x:b/>
        <x:color rgb="FFDA291C"/>
      </x:font>
      <x:fill>
        <x:patternFill patternType="solid">
          <x:bgColor rgb="FFFBE9E7"/>
        </x:patternFill>
      </x:fill>
    </x:dxf>
    <x:dxf>
      <x:font>
        <x:b/>
        <x:color rgb="FFFFFFFF"/>
      </x:font>
      <x:fill>
        <x:patternFill patternType="solid">
          <x:bgColor rgb="FFDA291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cb0fb490324be0" /><Relationship Type="http://schemas.openxmlformats.org/officeDocument/2006/relationships/theme" Target="/xl/theme/theme1.xml" Id="R3b683e1ecd354ec4" /><Relationship Type="http://schemas.openxmlformats.org/officeDocument/2006/relationships/sharedStrings" Target="/xl/sharedStrings.xml" Id="R8da5b4e7640e4722" /><Relationship Type="http://schemas.openxmlformats.org/officeDocument/2006/relationships/worksheet" Target="/xl/worksheets/sheet1.xml" Id="Rd7ec4150b489468a" /><Relationship Type="http://schemas.openxmlformats.org/officeDocument/2006/relationships/worksheet" Target="/xl/worksheets/sheet2.xml" Id="R8d43cc136a8842a3" /><Relationship Type="http://schemas.openxmlformats.org/officeDocument/2006/relationships/worksheet" Target="/xl/worksheets/sheet3.xml" Id="R8f3c2e4951254aa1" /><Relationship Type="http://schemas.openxmlformats.org/officeDocument/2006/relationships/worksheet" Target="/xl/worksheets/sheet4.xml" Id="R33fc89a65e5c405d" /><Relationship Type="http://schemas.openxmlformats.org/officeDocument/2006/relationships/worksheet" Target="/xl/worksheets/sheet5.xml" Id="R3efbf971ff9f4bc6" /><Relationship Type="http://schemas.openxmlformats.org/officeDocument/2006/relationships/worksheet" Target="/xl/worksheets/sheet6.xml" Id="R0b0e3a436099479d" /><Relationship Type="http://schemas.openxmlformats.org/officeDocument/2006/relationships/worksheet" Target="/xl/worksheets/sheet7.xml" Id="Re7707459dfad4e0a" /><Relationship Type="http://schemas.openxmlformats.org/officeDocument/2006/relationships/worksheet" Target="/xl/worksheets/sheet8.xml" Id="Rb2f8c3d47d2040c0" /><Relationship Type="http://schemas.openxmlformats.org/officeDocument/2006/relationships/worksheet" Target="/xl/worksheets/sheet9.xml" Id="R9b0eba3551704397" /><Relationship Type="http://schemas.openxmlformats.org/officeDocument/2006/relationships/worksheet" Target="/xl/worksheets/sheet10.xml" Id="Rf08c07d749e347d4" /></Relationships>
</file>

<file path=xl/tables/table1.xml><?xml version="1.0" encoding="utf-8"?>
<x:table xmlns:x="http://schemas.openxmlformats.org/spreadsheetml/2006/main" id="1" name="AdaptiveQuestionRouter" displayName="AdaptiveQuestionRouter" ref="A7:V92" headerRowCount="1" totalsRowCount="0" totalsRowShown="0">
  <x:tableColumns count="22">
    <x:tableColumn id="1" name="Scenario ID"/>
    <x:tableColumn id="2" name="Module"/>
    <x:tableColumn id="3" name="Domain"/>
    <x:tableColumn id="4" name="Quality Attribute"/>
    <x:tableColumn id="5" name="Architecture Scenario / Decision Test"/>
    <x:tableColumn id="6" name="Credible Failure Mode / Consequence"/>
    <x:tableColumn id="7" name="Biomedical"/>
    <x:tableColumn id="8" name="Web"/>
    <x:tableColumn id="9" name="SaaS"/>
    <x:tableColumn id="10" name="Epic / Clinical"/>
    <x:tableColumn id="11" name="On-Prem COTS"/>
    <x:tableColumn id="12" name="Cloud / API"/>
    <x:tableColumn id="13" name="Data / Analytics"/>
    <x:tableColumn id="14" name="AI / ML"/>
    <x:tableColumn id="15" name="Infrastructure"/>
    <x:tableColumn id="16" name="Inclusion Trigger"/>
    <x:tableColumn id="17" name="Exclude When"/>
    <x:tableColumn id="18" name="Expected Architecture Evidence"/>
    <x:tableColumn id="19" name="AI Routing Decision"/>
    <x:tableColumn id="20" name="Routing Rationale / Source"/>
    <x:tableColumn id="21" name="Assessment Disposition"/>
    <x:tableColumn id="22" name="Linked Output ID"/>
  </x:tableColumns>
  <x:tableStyleInfo name="TableStyleMedium2" showFirstColumn="0" showLastColumn="0" showRowStripes="1" showColumnStripes="0"/>
</x:table>
</file>

<file path=xl/tables/table2.xml><?xml version="1.0" encoding="utf-8"?>
<x:table xmlns:x="http://schemas.openxmlformats.org/spreadsheetml/2006/main" id="2" name="MaterialArchitectureRisks" displayName="MaterialArchitectureRisks" ref="A11:V71" headerRowCount="1" totalsRowCount="0" totalsRowShown="0">
  <x:tableColumns count="22">
    <x:tableColumn id="1" name="Risk ID"/>
    <x:tableColumn id="2" name="Source Scenario ID"/>
    <x:tableColumn id="3" name="Selected Architecture Lens"/>
    <x:tableColumn id="4" name="Architecture Domain"/>
    <x:tableColumn id="5" name="Quality Attribute"/>
    <x:tableColumn id="6" name="Why Applicable to This Design"/>
    <x:tableColumn id="7" name="Current Design Evidence"/>
    <x:tableColumn id="8" name="Assessment"/>
    <x:tableColumn id="9" name="Risk / Decision Statement"/>
    <x:tableColumn id="10" name="Likelihood (1–5)"/>
    <x:tableColumn id="11" name="Impact (1–5)"/>
    <x:tableColumn id="12" name="Inherent Score"/>
    <x:tableColumn id="13" name="Inherent Level"/>
    <x:tableColumn id="14" name="Treatment / Decision Needed"/>
    <x:tableColumn id="15" name="Accountable Owner"/>
    <x:tableColumn id="16" name="Target Date"/>
    <x:tableColumn id="17" name="Residual Likelihood"/>
    <x:tableColumn id="18" name="Residual Impact"/>
    <x:tableColumn id="19" name="Residual Score"/>
    <x:tableColumn id="20" name="Residual Level"/>
    <x:tableColumn id="21" name="Closure Evidence / Acceptance Criteria"/>
    <x:tableColumn id="22" name="Related DD / ADR / CMP / EX IDs"/>
  </x:tableColumns>
  <x:tableStyleInfo name="TableStyleMedium2" showFirstColumn="0" showLastColumn="0" showRowStripes="1" showColumnStripes="0"/>
</x:table>
</file>

<file path=xl/tables/table3.xml><?xml version="1.0" encoding="utf-8"?>
<x:table xmlns:x="http://schemas.openxmlformats.org/spreadsheetml/2006/main" id="3" name="AdaptiveDueDiligenceEvidence" displayName="AdaptiveDueDiligenceEvidence" ref="A7:N42" headerRowCount="1" totalsRowCount="0" totalsRowShown="0">
  <x:tableColumns count="14">
    <x:tableColumn id="1" name="DD ID"/>
    <x:tableColumn id="2" name="Category"/>
    <x:tableColumn id="3" name="Evidence Request / Question"/>
    <x:tableColumn id="4" name="Expected Evidence"/>
    <x:tableColumn id="5" name="Applicability"/>
    <x:tableColumn id="6" name="Applicability Rationale"/>
    <x:tableColumn id="7" name="Response / Finding"/>
    <x:tableColumn id="8" name="Evidence Status"/>
    <x:tableColumn id="9" name="Source / Reference"/>
    <x:tableColumn id="10" name="Evidence Confidence"/>
    <x:tableColumn id="11" name="Policy / Contract Impact"/>
    <x:tableColumn id="12" name="Related Architecture Risk IDs"/>
    <x:tableColumn id="13" name="Reviewer"/>
    <x:tableColumn id="14" name="Review Date"/>
  </x:tableColumns>
  <x:tableStyleInfo name="TableStyleMedium2" showFirstColumn="0" showLastColumn="0" showRowStripes="1" showColumnStripes="0"/>
</x:table>
</file>

<file path=xl/tables/table4.xml><?xml version="1.0" encoding="utf-8"?>
<x:table xmlns:x="http://schemas.openxmlformats.org/spreadsheetml/2006/main" id="4" name="AdaptiveArchitectureDecisions" displayName="AdaptiveArchitectureDecisions" ref="A5:N25" headerRowCount="1" totalsRowCount="0" totalsRowShown="0">
  <x:tableColumns count="14">
    <x:tableColumn id="1" name="ADR ID"/>
    <x:tableColumn id="2" name="Source Scenario ID"/>
    <x:tableColumn id="3" name="Architecture Lens"/>
    <x:tableColumn id="4" name="Decision / Question"/>
    <x:tableColumn id="5" name="Status"/>
    <x:tableColumn id="6" name="Context &amp; Drivers"/>
    <x:tableColumn id="7" name="Options Considered"/>
    <x:tableColumn id="8" name="Chosen Direction"/>
    <x:tableColumn id="9" name="Rationale"/>
    <x:tableColumn id="10" name="Consequences / Trade-offs"/>
    <x:tableColumn id="11" name="Decision Owner"/>
    <x:tableColumn id="12" name="Approver"/>
    <x:tableColumn id="13" name="Decision Date"/>
    <x:tableColumn id="14" name="Related Risk / DD / CMP / EX IDs"/>
  </x:tableColumns>
  <x:tableStyleInfo name="TableStyleMedium2" showFirstColumn="0" showLastColumn="0" showRowStripes="1" showColumnStripes="0"/>
</x:table>
</file>

<file path=xl/tables/table5.xml><?xml version="1.0" encoding="utf-8"?>
<x:table xmlns:x="http://schemas.openxmlformats.org/spreadsheetml/2006/main" id="5" name="AdaptiveTechnologyLifecycle" displayName="AdaptiveTechnologyLifecycle" ref="A5:Q30" headerRowCount="1" totalsRowCount="0" totalsRowShown="0">
  <x:tableColumns count="17">
    <x:tableColumn id="1" name="Component ID"/>
    <x:tableColumn id="2" name="Architecture Lens"/>
    <x:tableColumn id="3" name="Component / Dependency"/>
    <x:tableColumn id="4" name="Architectural Role"/>
    <x:tableColumn id="5" name="Hosting / Location"/>
    <x:tableColumn id="6" name="Technical Owner"/>
    <x:tableColumn id="7" name="Current Version"/>
    <x:tableColumn id="8" name="Vendor-Supported Range"/>
    <x:tableColumn id="9" name="Enterprise Baseline"/>
    <x:tableColumn id="10" name="End of Support"/>
    <x:tableColumn id="11" name="Patch Owner"/>
    <x:tableColumn id="12" name="Patch Cadence"/>
    <x:tableColumn id="13" name="Upgrade / Validation Method"/>
    <x:tableColumn id="14" name="Compatibility / Coupling Constraint"/>
    <x:tableColumn id="15" name="Currency Assessment"/>
    <x:tableColumn id="16" name="Related Risk IDs"/>
    <x:tableColumn id="17" name="Source / Evidence"/>
  </x:tableColumns>
  <x:tableStyleInfo name="TableStyleMedium2" showFirstColumn="0" showLastColumn="0" showRowStripes="1" showColumnStripes="0"/>
</x:table>
</file>

<file path=xl/tables/table6.xml><?xml version="1.0" encoding="utf-8"?>
<x:table xmlns:x="http://schemas.openxmlformats.org/spreadsheetml/2006/main" id="6" name="AdaptivePolicyExceptions" displayName="AdaptivePolicyExceptions" ref="A5:S25" headerRowCount="1" totalsRowCount="0" totalsRowShown="0">
  <x:tableColumns count="19">
    <x:tableColumn id="1" name="Exception ID"/>
    <x:tableColumn id="2" name="Source Scenario ID"/>
    <x:tableColumn id="3" name="Architecture Lens"/>
    <x:tableColumn id="4" name="Policy / Control ID"/>
    <x:tableColumn id="5" name="Unmet Requirement / Deviation"/>
    <x:tableColumn id="6" name="Impact"/>
    <x:tableColumn id="7" name="Compensating Controls"/>
    <x:tableColumn id="8" name="Exception Owner"/>
    <x:tableColumn id="9" name="Business Owner"/>
    <x:tableColumn id="10" name="Approval Authority"/>
    <x:tableColumn id="11" name="Approval Status"/>
    <x:tableColumn id="12" name="Requested Date"/>
    <x:tableColumn id="13" name="Approval Date"/>
    <x:tableColumn id="14" name="Review / Expiration Date"/>
    <x:tableColumn id="15" name="Residual Risk"/>
    <x:tableColumn id="16" name="Dependencies"/>
    <x:tableColumn id="17" name="Closure Criteria"/>
    <x:tableColumn id="18" name="Related Risk / DD IDs"/>
    <x:tableColumn id="19" name="Review Heal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77ac41523ed4335" /></Relationships>
</file>

<file path=xl/worksheets/_rels/sheet4.xml.rels>&#65279;<?xml version="1.0" encoding="utf-8"?><Relationships xmlns="http://schemas.openxmlformats.org/package/2006/relationships"><Relationship Type="http://schemas.openxmlformats.org/officeDocument/2006/relationships/table" Target="/xl/tables/table2.xml" Id="R666af6afc00a4707" /></Relationships>
</file>

<file path=xl/worksheets/_rels/sheet5.xml.rels>&#65279;<?xml version="1.0" encoding="utf-8"?><Relationships xmlns="http://schemas.openxmlformats.org/package/2006/relationships"><Relationship Type="http://schemas.openxmlformats.org/officeDocument/2006/relationships/table" Target="/xl/tables/table3.xml" Id="Rd698aabd29e944be" /></Relationships>
</file>

<file path=xl/worksheets/_rels/sheet6.xml.rels>&#65279;<?xml version="1.0" encoding="utf-8"?><Relationships xmlns="http://schemas.openxmlformats.org/package/2006/relationships"><Relationship Type="http://schemas.openxmlformats.org/officeDocument/2006/relationships/table" Target="/xl/tables/table4.xml" Id="R3e0119273c9e41c7" /></Relationships>
</file>

<file path=xl/worksheets/_rels/sheet7.xml.rels>&#65279;<?xml version="1.0" encoding="utf-8"?><Relationships xmlns="http://schemas.openxmlformats.org/package/2006/relationships"><Relationship Type="http://schemas.openxmlformats.org/officeDocument/2006/relationships/table" Target="/xl/tables/table5.xml" Id="R70aa535cb20c492c" /></Relationships>
</file>

<file path=xl/worksheets/_rels/sheet8.xml.rels>&#65279;<?xml version="1.0" encoding="utf-8"?><Relationships xmlns="http://schemas.openxmlformats.org/package/2006/relationships"><Relationship Type="http://schemas.openxmlformats.org/officeDocument/2006/relationships/table" Target="/xl/tables/table6.xml" Id="R7a5571f4e96a46f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4" customHeight="1">
      <x:c r="A1" s="6" t="str">
        <x:v>Adaptive Architecture Risk Assessment – Blank Template</x:v>
      </x:c>
      <x:c r="B1" s="6"/>
      <x:c r="C1" s="6"/>
      <x:c r="D1" s="6"/>
      <x:c r="E1" s="6"/>
      <x:c r="F1" s="6"/>
      <x:c r="G1" s="6"/>
      <x:c r="H1" s="6"/>
      <x:c r="I1" s="6"/>
      <x:c r="J1" s="6"/>
      <x:c r="K1" s="6"/>
      <x:c r="L1" s="6"/>
      <x:c r="M1" s="6"/>
      <x:c r="N1" s="6"/>
      <x:c r="O1" s="6"/>
      <x:c r="P1" s="6"/>
    </x:row>
    <x:row r="2" ht="34" customHeight="1">
      <x:c r="A2" s="12" t="str">
        <x:v>Classify the solution first, route only applicable architecture scenarios, and place only material design findings in the Risk Register. Excluded lenses are not gaps.</x:v>
      </x:c>
      <x:c r="B2" s="12"/>
      <x:c r="C2" s="12"/>
      <x:c r="D2" s="12"/>
      <x:c r="E2" s="12"/>
      <x:c r="F2" s="12"/>
      <x:c r="G2" s="12"/>
      <x:c r="H2" s="12"/>
      <x:c r="I2" s="12"/>
      <x:c r="J2" s="12"/>
      <x:c r="K2" s="12"/>
      <x:c r="L2" s="12"/>
      <x:c r="M2" s="12"/>
      <x:c r="N2" s="12"/>
      <x:c r="O2" s="12"/>
      <x:c r="P2" s="12"/>
    </x:row>
    <x:row r="3">
      <x:c r="A3" s="2"/>
      <x:c r="B3" s="2"/>
      <x:c r="C3" s="2"/>
      <x:c r="D3" s="2"/>
      <x:c r="E3" s="2"/>
      <x:c r="F3" s="2"/>
      <x:c r="G3" s="2"/>
      <x:c r="H3" s="2"/>
      <x:c r="I3" s="2"/>
      <x:c r="J3" s="2"/>
      <x:c r="K3" s="2"/>
      <x:c r="L3" s="2"/>
      <x:c r="M3" s="2"/>
      <x:c r="N3" s="2"/>
      <x:c r="O3" s="2"/>
      <x:c r="P3" s="2"/>
    </x:row>
    <x:row r="4" ht="30" customHeight="1">
      <x:c r="A4" s="15" t="str">
        <x:v>Detected Architecture Type</x:v>
      </x:c>
      <x:c r="B4" s="15"/>
      <x:c r="C4" s="15"/>
      <x:c r="D4" s="15"/>
      <x:c r="E4" s="15" t="str">
        <x:v>Routed Scenarios</x:v>
      </x:c>
      <x:c r="F4" s="15"/>
      <x:c r="G4" s="15"/>
      <x:c r="H4" s="15"/>
      <x:c r="I4" s="15" t="str">
        <x:v>Material Findings</x:v>
      </x:c>
      <x:c r="J4" s="15"/>
      <x:c r="K4" s="15"/>
      <x:c r="L4" s="15"/>
      <x:c r="M4" s="15" t="str">
        <x:v>High / Critical</x:v>
      </x:c>
      <x:c r="N4" s="15"/>
      <x:c r="O4" s="15"/>
      <x:c r="P4" s="15"/>
    </x:row>
    <x:row r="5" ht="30" customHeight="1">
      <x:c r="A5" s="26" t="str">
        <x:f>IF('Solution Classification'!$B$5="","Not classified",'Solution Classification'!$B$5)</x:f>
        <x:v>Not classified</x:v>
      </x:c>
      <x:c r="B5" s="27"/>
      <x:c r="C5" s="27"/>
      <x:c r="D5" s="28"/>
      <x:c r="E5" s="26" t="n">
        <x:f>COUNTIF('Question Router'!$S$8:$S$90,"Selected")+COUNTIF('Question Router'!$S$8:$S$90,"Conditional – verify")</x:f>
        <x:v>0</x:v>
      </x:c>
      <x:c r="F5" s="27"/>
      <x:c r="G5" s="27"/>
      <x:c r="H5" s="28"/>
      <x:c r="I5" s="26" t="n">
        <x:f>COUNTA('Architecture Risk Register'!$A$12:$A$71)</x:f>
        <x:v>0</x:v>
      </x:c>
      <x:c r="J5" s="27"/>
      <x:c r="K5" s="27"/>
      <x:c r="L5" s="28"/>
      <x:c r="M5" s="26" t="n">
        <x:f>COUNTIF('Architecture Risk Register'!$M$12:$M$71,"High")+COUNTIF('Architecture Risk Register'!$M$12:$M$71,"Critical")</x:f>
        <x:v>0</x:v>
      </x:c>
      <x:c r="N5" s="27"/>
      <x:c r="O5" s="27"/>
      <x:c r="P5" s="28"/>
    </x:row>
    <x:row r="6">
      <x:c r="A6" s="2"/>
      <x:c r="B6" s="2"/>
      <x:c r="C6" s="2"/>
      <x:c r="D6" s="2"/>
      <x:c r="E6" s="2"/>
      <x:c r="F6" s="2"/>
      <x:c r="G6" s="2"/>
      <x:c r="H6" s="2"/>
      <x:c r="I6" s="2"/>
      <x:c r="J6" s="2"/>
      <x:c r="K6" s="2"/>
      <x:c r="L6" s="2"/>
      <x:c r="M6" s="2"/>
      <x:c r="N6" s="2"/>
      <x:c r="O6" s="2"/>
      <x:c r="P6" s="2"/>
    </x:row>
    <x:row r="7">
      <x:c r="A7" s="31" t="str">
        <x:v>Assessment Context</x:v>
      </x:c>
      <x:c r="B7" s="31"/>
      <x:c r="C7" s="31"/>
      <x:c r="D7" s="31"/>
      <x:c r="E7" s="31"/>
      <x:c r="F7" s="31"/>
      <x:c r="G7" s="31"/>
      <x:c r="H7" s="31"/>
      <x:c r="I7" s="31"/>
      <x:c r="J7" s="31"/>
      <x:c r="K7" s="31"/>
      <x:c r="L7" s="31"/>
      <x:c r="M7" s="31"/>
      <x:c r="N7" s="31"/>
      <x:c r="O7" s="31"/>
      <x:c r="P7" s="31"/>
    </x:row>
    <x:row r="8" ht="30" customHeight="1">
      <x:c r="A8" s="35" t="str">
        <x:v>Due Diligence ID</x:v>
      </x:c>
      <x:c r="B8" s="44" t="str"/>
      <x:c r="C8" s="45"/>
      <x:c r="D8" s="46"/>
      <x:c r="E8" s="35" t="str">
        <x:v>Technology Risk ID</x:v>
      </x:c>
      <x:c r="F8" s="44" t="str"/>
      <x:c r="G8" s="45"/>
      <x:c r="H8" s="46"/>
      <x:c r="I8" s="35" t="str">
        <x:v>Solution Name</x:v>
      </x:c>
      <x:c r="J8" s="44" t="str"/>
      <x:c r="K8" s="45"/>
      <x:c r="L8" s="46"/>
      <x:c r="M8" s="35" t="str">
        <x:v>Vendor / Product</x:v>
      </x:c>
      <x:c r="N8" s="44" t="str"/>
      <x:c r="O8" s="45"/>
      <x:c r="P8" s="46"/>
    </x:row>
    <x:row r="9" ht="30" customHeight="1">
      <x:c r="A9" s="35" t="str">
        <x:v>Facilities / Region</x:v>
      </x:c>
      <x:c r="B9" s="44" t="str"/>
      <x:c r="C9" s="45"/>
      <x:c r="D9" s="46"/>
      <x:c r="E9" s="35" t="str">
        <x:v>Business Unit</x:v>
      </x:c>
      <x:c r="F9" s="44" t="str"/>
      <x:c r="G9" s="45"/>
      <x:c r="H9" s="46"/>
      <x:c r="I9" s="35" t="str">
        <x:v>Assessment Type / Tier</x:v>
      </x:c>
      <x:c r="J9" s="44" t="str"/>
      <x:c r="K9" s="45"/>
      <x:c r="L9" s="46"/>
      <x:c r="M9" s="35" t="str">
        <x:v>Target Go-Live</x:v>
      </x:c>
      <x:c r="N9" s="47" t="str"/>
      <x:c r="O9" s="48"/>
      <x:c r="P9" s="49"/>
    </x:row>
    <x:row r="10" ht="30" customHeight="1">
      <x:c r="A10" s="35" t="str">
        <x:v>Architecture Owner</x:v>
      </x:c>
      <x:c r="B10" s="44" t="str"/>
      <x:c r="C10" s="45"/>
      <x:c r="D10" s="46"/>
      <x:c r="E10" s="35" t="str">
        <x:v>Business Owner</x:v>
      </x:c>
      <x:c r="F10" s="44" t="str"/>
      <x:c r="G10" s="45"/>
      <x:c r="H10" s="46"/>
      <x:c r="I10" s="35" t="str">
        <x:v>Reviewer</x:v>
      </x:c>
      <x:c r="J10" s="44" t="str"/>
      <x:c r="K10" s="45"/>
      <x:c r="L10" s="46"/>
      <x:c r="M10" s="35" t="str">
        <x:v>Review Date</x:v>
      </x:c>
      <x:c r="N10" s="47" t="str"/>
      <x:c r="O10" s="48"/>
      <x:c r="P10" s="49"/>
    </x:row>
    <x:row r="11" ht="30" customHeight="1">
      <x:c r="A11" s="35" t="str">
        <x:v>Hosting / Deployment</x:v>
      </x:c>
      <x:c r="B11" s="44" t="str"/>
      <x:c r="C11" s="45"/>
      <x:c r="D11" s="46"/>
      <x:c r="E11" s="35" t="str">
        <x:v>Data Classification</x:v>
      </x:c>
      <x:c r="F11" s="44" t="str"/>
      <x:c r="G11" s="45"/>
      <x:c r="H11" s="46"/>
      <x:c r="I11" s="35" t="str">
        <x:v>Clinical / Business Criticality</x:v>
      </x:c>
      <x:c r="J11" s="44" t="str"/>
      <x:c r="K11" s="45"/>
      <x:c r="L11" s="46"/>
      <x:c r="M11" s="35" t="str">
        <x:v>Overall Risk Rating</x:v>
      </x:c>
      <x:c r="N11" s="44" t="str"/>
      <x:c r="O11" s="45"/>
      <x:c r="P11" s="46"/>
    </x:row>
    <x:row r="12" ht="30" customHeight="1">
      <x:c r="A12" s="35" t="str">
        <x:v>Primary Architecture Type</x:v>
      </x:c>
      <x:c r="B12" s="44" t="str">
        <x:f>IF('Solution Classification'!$B$5="","",'Solution Classification'!$B$5)</x:f>
      </x:c>
      <x:c r="C12" s="45"/>
      <x:c r="D12" s="46"/>
      <x:c r="E12" s="35" t="str">
        <x:v>Secondary Types</x:v>
      </x:c>
      <x:c r="F12" s="44" t="str">
        <x:f>IF('Solution Classification'!$J$5="","",'Solution Classification'!$J$5)</x:f>
      </x:c>
      <x:c r="G12" s="45"/>
      <x:c r="H12" s="46"/>
      <x:c r="I12" s="35" t="str">
        <x:v>Classification Confidence</x:v>
      </x:c>
      <x:c r="J12" s="44" t="str">
        <x:f>IF('Solution Classification'!$B$6="","",'Solution Classification'!$B$6)</x:f>
      </x:c>
      <x:c r="K12" s="45"/>
      <x:c r="L12" s="46"/>
      <x:c r="M12" s="35" t="str">
        <x:v>Decision Gate</x:v>
      </x:c>
      <x:c r="N12" s="44" t="str">
        <x:f>IF('Architecture Risk Register'!$N$6="","",'Architecture Risk Register'!$N$6)</x:f>
      </x:c>
      <x:c r="O12" s="45"/>
      <x:c r="P12" s="46"/>
    </x:row>
    <x:row r="13" ht="44" customHeight="1">
      <x:c r="A13" s="35" t="str">
        <x:v>Overall Recommendation</x:v>
      </x:c>
      <x:c r="B13" s="44" t="str"/>
      <x:c r="C13" s="45"/>
      <x:c r="D13" s="46"/>
      <x:c r="E13" s="35" t="str">
        <x:v>Conditions / Unresolved Items</x:v>
      </x:c>
      <x:c r="F13" s="44" t="str"/>
      <x:c r="G13" s="45"/>
      <x:c r="H13" s="46"/>
      <x:c r="I13" s="35" t="str">
        <x:v>Evidence Set</x:v>
      </x:c>
      <x:c r="J13" s="44" t="str"/>
      <x:c r="K13" s="45"/>
      <x:c r="L13" s="46"/>
      <x:c r="M13" s="35" t="str">
        <x:v>Open Exceptions</x:v>
      </x:c>
      <x:c r="N13" s="44" t="n">
        <x:f>COUNTIF('Exception Register'!$I$6:$I$25,"Draft")+COUNTIF('Exception Register'!$I$6:$I$25,"Pending Approval")+COUNTIF('Exception Register'!$I$6:$I$25,"Approved")+COUNTIF('Exception Register'!$I$6:$I$25,"Expired")</x:f>
        <x:v>0</x:v>
      </x:c>
      <x:c r="O13" s="45"/>
      <x:c r="P13" s="46"/>
    </x:row>
    <x:row r="14">
      <x:c r="A14" s="2"/>
      <x:c r="B14" s="2"/>
      <x:c r="C14" s="2"/>
      <x:c r="D14" s="2"/>
      <x:c r="E14" s="2"/>
      <x:c r="F14" s="2"/>
      <x:c r="G14" s="2"/>
      <x:c r="H14" s="2"/>
      <x:c r="I14" s="2"/>
      <x:c r="J14" s="2"/>
      <x:c r="K14" s="2"/>
      <x:c r="L14" s="2"/>
      <x:c r="M14" s="2"/>
      <x:c r="N14" s="2"/>
      <x:c r="O14" s="2"/>
      <x:c r="P14" s="2"/>
    </x:row>
    <x:row r="15">
      <x:c r="A15" s="2"/>
      <x:c r="B15" s="2"/>
      <x:c r="C15" s="2"/>
      <x:c r="D15" s="2"/>
      <x:c r="E15" s="2"/>
      <x:c r="F15" s="2"/>
      <x:c r="G15" s="2"/>
      <x:c r="H15" s="2"/>
      <x:c r="I15" s="2"/>
      <x:c r="J15" s="2"/>
      <x:c r="K15" s="2"/>
      <x:c r="L15" s="2"/>
      <x:c r="M15" s="2"/>
      <x:c r="N15" s="2"/>
      <x:c r="O15" s="2"/>
      <x:c r="P15" s="2"/>
    </x:row>
    <x:row r="16">
      <x:c r="A16" s="52" t="str">
        <x:v>Adaptive routing model</x:v>
      </x:c>
      <x:c r="B16" s="52"/>
      <x:c r="C16" s="52"/>
      <x:c r="D16" s="52"/>
      <x:c r="E16" s="52"/>
      <x:c r="F16" s="52"/>
      <x:c r="G16" s="52"/>
      <x:c r="H16" s="52"/>
      <x:c r="I16" s="52"/>
      <x:c r="J16" s="52"/>
      <x:c r="K16" s="52"/>
      <x:c r="L16" s="52"/>
      <x:c r="M16" s="52"/>
      <x:c r="N16" s="52"/>
      <x:c r="O16" s="52"/>
      <x:c r="P16" s="52"/>
    </x:row>
    <x:row r="17" ht="44" customHeight="1">
      <x:c r="A17" s="56" t="str">
        <x:v>1</x:v>
      </x:c>
      <x:c r="B17" s="59" t="str">
        <x:v>Detect</x:v>
      </x:c>
      <x:c r="C17" s="59"/>
      <x:c r="D17" s="64" t="str">
        <x:v>Identify the primary architecture type and any secondary types from actual components, hosting and workflows.</x:v>
      </x:c>
      <x:c r="E17" s="64"/>
      <x:c r="F17" s="64"/>
      <x:c r="G17" s="64"/>
      <x:c r="H17" s="64"/>
      <x:c r="I17" s="64"/>
      <x:c r="J17" s="64"/>
      <x:c r="K17" s="64"/>
      <x:c r="L17" s="68" t="str">
        <x:v>Do not classify only from the product label.</x:v>
      </x:c>
      <x:c r="M17" s="68"/>
      <x:c r="N17" s="68"/>
      <x:c r="O17" s="68"/>
      <x:c r="P17" s="68"/>
    </x:row>
    <x:row r="18" ht="44" customHeight="1">
      <x:c r="A18" s="56" t="str">
        <x:v>2</x:v>
      </x:c>
      <x:c r="B18" s="59" t="str">
        <x:v>Route</x:v>
      </x:c>
      <x:c r="C18" s="59"/>
      <x:c r="D18" s="73" t="str">
        <x:v>Use the Question Router matrix: R = required for that type, C = include only when its trigger exists, — = normally exclude.</x:v>
      </x:c>
      <x:c r="E18" s="73"/>
      <x:c r="F18" s="73"/>
      <x:c r="G18" s="73"/>
      <x:c r="H18" s="73"/>
      <x:c r="I18" s="73"/>
      <x:c r="J18" s="73"/>
      <x:c r="K18" s="73"/>
      <x:c r="L18" s="68" t="str">
        <x:v>Document every inclusion/exclusion rationale.</x:v>
      </x:c>
      <x:c r="M18" s="68"/>
      <x:c r="N18" s="68"/>
      <x:c r="O18" s="68"/>
      <x:c r="P18" s="68"/>
    </x:row>
    <x:row r="19" ht="44" customHeight="1">
      <x:c r="A19" s="56" t="str">
        <x:v>3</x:v>
      </x:c>
      <x:c r="B19" s="59" t="str">
        <x:v>Assess</x:v>
      </x:c>
      <x:c r="C19" s="59"/>
      <x:c r="D19" s="64" t="str">
        <x:v>Evaluate selected scenarios against architecture evidence. Missing evidence is Pending Evidence unless it proves a design weakness.</x:v>
      </x:c>
      <x:c r="E19" s="64"/>
      <x:c r="F19" s="64"/>
      <x:c r="G19" s="64"/>
      <x:c r="H19" s="64"/>
      <x:c r="I19" s="64"/>
      <x:c r="J19" s="64"/>
      <x:c r="K19" s="64"/>
      <x:c r="L19" s="68" t="str">
        <x:v>Do not score excluded questions.</x:v>
      </x:c>
      <x:c r="M19" s="68"/>
      <x:c r="N19" s="68"/>
      <x:c r="O19" s="68"/>
      <x:c r="P19" s="68"/>
    </x:row>
    <x:row r="20" ht="44" customHeight="1">
      <x:c r="A20" s="56" t="str">
        <x:v>4</x:v>
      </x:c>
      <x:c r="B20" s="59" t="str">
        <x:v>Materialize</x:v>
      </x:c>
      <x:c r="C20" s="59"/>
      <x:c r="D20" s="73" t="str">
        <x:v>Create a Risk Register row only for a material Gap, Risk or Decision Required; use ADR/Exception for their proper purposes.</x:v>
      </x:c>
      <x:c r="E20" s="73"/>
      <x:c r="F20" s="73"/>
      <x:c r="G20" s="73"/>
      <x:c r="H20" s="73"/>
      <x:c r="I20" s="73"/>
      <x:c r="J20" s="73"/>
      <x:c r="K20" s="73"/>
      <x:c r="L20" s="68" t="str">
        <x:v>No-finding scenarios remain traceable in the router.</x:v>
      </x:c>
      <x:c r="M20" s="68"/>
      <x:c r="N20" s="68"/>
      <x:c r="O20" s="68"/>
      <x:c r="P20" s="68"/>
    </x:row>
    <x:row r="21" ht="44" customHeight="1">
      <x:c r="A21" s="56" t="str">
        <x:v>5</x:v>
      </x:c>
      <x:c r="B21" s="59" t="str">
        <x:v>Validate</x:v>
      </x:c>
      <x:c r="C21" s="59"/>
      <x:c r="D21" s="64" t="str">
        <x:v>Review the selected set with the appropriate SME and confirm that the set is proportionate to scope and criticality.</x:v>
      </x:c>
      <x:c r="E21" s="64"/>
      <x:c r="F21" s="64"/>
      <x:c r="G21" s="64"/>
      <x:c r="H21" s="64"/>
      <x:c r="I21" s="64"/>
      <x:c r="J21" s="64"/>
      <x:c r="K21" s="64"/>
      <x:c r="L21" s="68" t="str">
        <x:v>Composite solutions may select multiple modules.</x:v>
      </x:c>
      <x:c r="M21" s="68"/>
      <x:c r="N21" s="68"/>
      <x:c r="O21" s="68"/>
      <x:c r="P21" s="68"/>
    </x:row>
    <x:row r="22">
      <x:c r="A22" s="2"/>
      <x:c r="B22" s="2"/>
      <x:c r="C22" s="2"/>
      <x:c r="D22" s="2"/>
      <x:c r="E22" s="2"/>
      <x:c r="F22" s="2"/>
      <x:c r="G22" s="2"/>
      <x:c r="H22" s="2"/>
      <x:c r="I22" s="2"/>
      <x:c r="J22" s="2"/>
      <x:c r="K22" s="2"/>
      <x:c r="L22" s="2"/>
      <x:c r="M22" s="2"/>
      <x:c r="N22" s="2"/>
      <x:c r="O22" s="2"/>
      <x:c r="P22" s="2"/>
    </x:row>
    <x:row r="23">
      <x:c r="A23" s="2"/>
      <x:c r="B23" s="2"/>
      <x:c r="C23" s="2"/>
      <x:c r="D23" s="2"/>
      <x:c r="E23" s="2"/>
      <x:c r="F23" s="2"/>
      <x:c r="G23" s="2"/>
      <x:c r="H23" s="2"/>
      <x:c r="I23" s="2"/>
      <x:c r="J23" s="2"/>
      <x:c r="K23" s="2"/>
      <x:c r="L23" s="2"/>
      <x:c r="M23" s="2"/>
      <x:c r="N23" s="2"/>
      <x:c r="O23" s="2"/>
      <x:c r="P23" s="2"/>
    </x:row>
    <x:row r="24">
      <x:c r="A24" s="75" t="str">
        <x:v>Example: how FibroScan would be routed</x:v>
      </x:c>
      <x:c r="B24" s="75"/>
      <x:c r="C24" s="75"/>
      <x:c r="D24" s="75"/>
      <x:c r="E24" s="75"/>
      <x:c r="F24" s="75"/>
      <x:c r="G24" s="75"/>
      <x:c r="H24" s="75"/>
      <x:c r="I24" s="75"/>
      <x:c r="J24" s="75"/>
      <x:c r="K24" s="75"/>
      <x:c r="L24" s="75"/>
      <x:c r="M24" s="75"/>
      <x:c r="N24" s="75"/>
      <x:c r="O24" s="75"/>
      <x:c r="P24" s="75"/>
    </x:row>
    <x:row r="25">
      <x:c r="A25" s="78" t="str">
        <x:v>Detected lenses
Primary: Biomedical Device
Secondary: Epic / Clinical Interface + On-Prem COTS</x:v>
      </x:c>
      <x:c r="B25" s="78"/>
      <x:c r="C25" s="78"/>
      <x:c r="D25" s="78"/>
      <x:c r="E25" s="81" t="str">
        <x:v>Selected modules
Core + BIO + EPI + ONP
Add INF only for a material network/platform change</x:v>
      </x:c>
      <x:c r="F25" s="81"/>
      <x:c r="G25" s="81"/>
      <x:c r="H25" s="81"/>
      <x:c r="I25" s="84" t="str">
        <x:v>Normally excluded
Generic SaaS tenancy, public-web UI, cloud landing zone, analytics-platform and AI/model questions</x:v>
      </x:c>
      <x:c r="J25" s="84"/>
      <x:c r="K25" s="84"/>
      <x:c r="L25" s="84"/>
      <x:c r="M25" s="88" t="str">
        <x:v>Risk-register rule
Assess only selected scenarios; create rows only for material design findings. DD evidence remains linked, not copied.</x:v>
      </x:c>
      <x:c r="N25" s="88"/>
      <x:c r="O25" s="88"/>
      <x:c r="P25" s="88"/>
    </x:row>
    <x:row r="26">
      <x:c r="A26" s="78"/>
      <x:c r="B26" s="78"/>
      <x:c r="C26" s="78"/>
      <x:c r="D26" s="78"/>
      <x:c r="E26" s="81"/>
      <x:c r="F26" s="81"/>
      <x:c r="G26" s="81"/>
      <x:c r="H26" s="81"/>
      <x:c r="I26" s="84"/>
      <x:c r="J26" s="84"/>
      <x:c r="K26" s="84"/>
      <x:c r="L26" s="84"/>
      <x:c r="M26" s="88"/>
      <x:c r="N26" s="88"/>
      <x:c r="O26" s="88"/>
      <x:c r="P26" s="88"/>
    </x:row>
    <x:row r="27">
      <x:c r="A27" s="78"/>
      <x:c r="B27" s="78"/>
      <x:c r="C27" s="78"/>
      <x:c r="D27" s="78"/>
      <x:c r="E27" s="81"/>
      <x:c r="F27" s="81"/>
      <x:c r="G27" s="81"/>
      <x:c r="H27" s="81"/>
      <x:c r="I27" s="84"/>
      <x:c r="J27" s="84"/>
      <x:c r="K27" s="84"/>
      <x:c r="L27" s="84"/>
      <x:c r="M27" s="88"/>
      <x:c r="N27" s="88"/>
      <x:c r="O27" s="88"/>
      <x:c r="P27" s="88"/>
    </x:row>
    <x:row r="28">
      <x:c r="A28" s="2"/>
      <x:c r="B28" s="2"/>
      <x:c r="C28" s="2"/>
      <x:c r="D28" s="2"/>
      <x:c r="E28" s="2"/>
      <x:c r="F28" s="2"/>
      <x:c r="G28" s="2"/>
      <x:c r="H28" s="2"/>
      <x:c r="I28" s="2"/>
      <x:c r="J28" s="2"/>
      <x:c r="K28" s="2"/>
      <x:c r="L28" s="2"/>
      <x:c r="M28" s="2"/>
      <x:c r="N28" s="2"/>
      <x:c r="O28" s="2"/>
      <x:c r="P28" s="2"/>
    </x:row>
    <x:row r="29">
      <x:c r="A29" s="2"/>
      <x:c r="B29" s="2"/>
      <x:c r="C29" s="2"/>
      <x:c r="D29" s="2"/>
      <x:c r="E29" s="2"/>
      <x:c r="F29" s="2"/>
      <x:c r="G29" s="2"/>
      <x:c r="H29" s="2"/>
      <x:c r="I29" s="2"/>
      <x:c r="J29" s="2"/>
      <x:c r="K29" s="2"/>
      <x:c r="L29" s="2"/>
      <x:c r="M29" s="2"/>
      <x:c r="N29" s="2"/>
      <x:c r="O29" s="2"/>
      <x:c r="P29" s="2"/>
    </x:row>
    <x:row r="30">
      <x:c r="A30" s="2"/>
      <x:c r="B30" s="2"/>
      <x:c r="C30" s="2"/>
      <x:c r="D30" s="2"/>
      <x:c r="E30" s="2"/>
      <x:c r="F30" s="2"/>
      <x:c r="G30" s="2"/>
      <x:c r="H30" s="2"/>
      <x:c r="I30" s="2"/>
      <x:c r="J30" s="2"/>
      <x:c r="K30" s="2"/>
      <x:c r="L30" s="2"/>
      <x:c r="M30" s="2"/>
      <x:c r="N30" s="2"/>
      <x:c r="O30" s="2"/>
      <x:c r="P30" s="2"/>
    </x:row>
    <x:row r="31">
      <x:c r="A31" s="2"/>
      <x:c r="B31" s="2"/>
      <x:c r="C31" s="2"/>
      <x:c r="D31" s="2"/>
      <x:c r="E31" s="2"/>
      <x:c r="F31" s="2"/>
      <x:c r="G31" s="2"/>
      <x:c r="H31" s="2"/>
      <x:c r="I31" s="2"/>
      <x:c r="J31" s="2"/>
      <x:c r="K31" s="2"/>
      <x:c r="L31" s="2"/>
      <x:c r="M31" s="2"/>
      <x:c r="N31" s="2"/>
      <x:c r="O31" s="2"/>
      <x:c r="P31" s="2"/>
    </x:row>
    <x:row r="32">
      <x:c r="A32" s="2"/>
      <x:c r="B32" s="2"/>
      <x:c r="C32" s="2"/>
      <x:c r="D32" s="2"/>
      <x:c r="E32" s="2"/>
      <x:c r="F32" s="2"/>
      <x:c r="G32" s="2"/>
      <x:c r="H32" s="2"/>
      <x:c r="I32" s="2"/>
      <x:c r="J32" s="2"/>
      <x:c r="K32" s="2"/>
      <x:c r="L32" s="2"/>
      <x:c r="M32" s="2"/>
      <x:c r="N32" s="2"/>
      <x:c r="O32" s="2"/>
      <x:c r="P32" s="2"/>
    </x:row>
    <x:row r="33">
      <x:c r="A33" s="2"/>
      <x:c r="B33" s="2"/>
      <x:c r="C33" s="2"/>
      <x:c r="D33" s="2"/>
      <x:c r="E33" s="2"/>
      <x:c r="F33" s="2"/>
      <x:c r="G33" s="2"/>
      <x:c r="H33" s="2"/>
      <x:c r="I33" s="2"/>
      <x:c r="J33" s="2"/>
      <x:c r="K33" s="2"/>
      <x:c r="L33" s="2"/>
      <x:c r="M33" s="2"/>
      <x:c r="N33" s="2"/>
      <x:c r="O33" s="2"/>
      <x:c r="P33" s="2"/>
    </x:row>
    <x:row r="34">
      <x:c r="A34" s="2"/>
      <x:c r="B34" s="2"/>
      <x:c r="C34" s="2"/>
      <x:c r="D34" s="2"/>
      <x:c r="E34" s="2"/>
      <x:c r="F34" s="2"/>
      <x:c r="G34" s="2"/>
      <x:c r="H34" s="2"/>
      <x:c r="I34" s="2"/>
      <x:c r="J34" s="2"/>
      <x:c r="K34" s="2"/>
      <x:c r="L34" s="2"/>
      <x:c r="M34" s="2"/>
      <x:c r="N34" s="2"/>
      <x:c r="O34" s="2"/>
      <x:c r="P34" s="2"/>
    </x:row>
  </x:sheetData>
  <x:mergeCells>
    <x:mergeCell ref="A1:P1"/>
    <x:mergeCell ref="A2:P2"/>
    <x:mergeCell ref="A4:D4"/>
    <x:mergeCell ref="A5:D5"/>
    <x:mergeCell ref="E4:H4"/>
    <x:mergeCell ref="E5:H5"/>
    <x:mergeCell ref="I4:L4"/>
    <x:mergeCell ref="I5:L5"/>
    <x:mergeCell ref="M4:P4"/>
    <x:mergeCell ref="M5:P5"/>
    <x:mergeCell ref="A7:P7"/>
    <x:mergeCell ref="B8:D8"/>
    <x:mergeCell ref="F8:H8"/>
    <x:mergeCell ref="J8:L8"/>
    <x:mergeCell ref="N8:P8"/>
    <x:mergeCell ref="B9:D9"/>
    <x:mergeCell ref="F9:H9"/>
    <x:mergeCell ref="J9:L9"/>
    <x:mergeCell ref="N9:P9"/>
    <x:mergeCell ref="B10:D10"/>
    <x:mergeCell ref="F10:H10"/>
    <x:mergeCell ref="J10:L10"/>
    <x:mergeCell ref="N10:P10"/>
    <x:mergeCell ref="B11:D11"/>
    <x:mergeCell ref="F11:H11"/>
    <x:mergeCell ref="J11:L11"/>
    <x:mergeCell ref="N11:P11"/>
    <x:mergeCell ref="B12:D12"/>
    <x:mergeCell ref="F12:H12"/>
    <x:mergeCell ref="J12:L12"/>
    <x:mergeCell ref="N12:P12"/>
    <x:mergeCell ref="B13:D13"/>
    <x:mergeCell ref="F13:H13"/>
    <x:mergeCell ref="J13:L13"/>
    <x:mergeCell ref="N13:P13"/>
    <x:mergeCell ref="A16:P16"/>
    <x:mergeCell ref="B17:C17"/>
    <x:mergeCell ref="D17:K17"/>
    <x:mergeCell ref="L17:P17"/>
    <x:mergeCell ref="B18:C18"/>
    <x:mergeCell ref="D18:K18"/>
    <x:mergeCell ref="L18:P18"/>
    <x:mergeCell ref="B19:C19"/>
    <x:mergeCell ref="D19:K19"/>
    <x:mergeCell ref="L19:P19"/>
    <x:mergeCell ref="B20:C20"/>
    <x:mergeCell ref="D20:K20"/>
    <x:mergeCell ref="L20:P20"/>
    <x:mergeCell ref="B21:C21"/>
    <x:mergeCell ref="D21:K21"/>
    <x:mergeCell ref="L21:P21"/>
    <x:mergeCell ref="A24:P24"/>
    <x:mergeCell ref="A25:D27"/>
    <x:mergeCell ref="E25:H27"/>
    <x:mergeCell ref="I25:L27"/>
    <x:mergeCell ref="M25:P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s>
  <x:sheetData>
    <x:row r="1" ht="34" customHeight="1">
      <x:c r="A1" s="6" t="str">
        <x:v>Solution Classification &amp; Architecture-Type Detection</x:v>
      </x:c>
      <x:c r="B1" s="6"/>
      <x:c r="C1" s="6"/>
      <x:c r="D1" s="6"/>
      <x:c r="E1" s="6"/>
      <x:c r="F1" s="6"/>
      <x:c r="G1" s="6"/>
      <x:c r="H1" s="6"/>
      <x:c r="I1" s="6"/>
      <x:c r="J1" s="6"/>
      <x:c r="K1" s="6"/>
      <x:c r="L1" s="6"/>
      <x:c r="M1" s="6"/>
      <x:c r="N1" s="6"/>
      <x:c r="O1" s="6"/>
      <x:c r="P1" s="6"/>
    </x:row>
    <x:row r="2" ht="34" customHeight="1">
      <x:c r="A2" s="12" t="str">
        <x:v>Complete this before selecting architecture questions. Classification is based on actual components, control boundaries and workflows—not the vendor/product label alone.</x:v>
      </x:c>
      <x:c r="B2" s="12"/>
      <x:c r="C2" s="12"/>
      <x:c r="D2" s="12"/>
      <x:c r="E2" s="12"/>
      <x:c r="F2" s="12"/>
      <x:c r="G2" s="12"/>
      <x:c r="H2" s="12"/>
      <x:c r="I2" s="12"/>
      <x:c r="J2" s="12"/>
      <x:c r="K2" s="12"/>
      <x:c r="L2" s="12"/>
      <x:c r="M2" s="12"/>
      <x:c r="N2" s="12"/>
      <x:c r="O2" s="12"/>
      <x:c r="P2" s="12"/>
    </x:row>
    <x:row r="3">
      <x:c r="A3" s="2"/>
      <x:c r="B3" s="2"/>
      <x:c r="C3" s="2"/>
      <x:c r="D3" s="2"/>
      <x:c r="E3" s="2"/>
      <x:c r="F3" s="2"/>
      <x:c r="G3" s="2"/>
      <x:c r="H3" s="2"/>
      <x:c r="I3" s="2"/>
      <x:c r="J3" s="2"/>
      <x:c r="K3" s="2"/>
      <x:c r="L3" s="2"/>
      <x:c r="M3" s="2"/>
      <x:c r="N3" s="2"/>
      <x:c r="O3" s="2"/>
      <x:c r="P3" s="2"/>
    </x:row>
    <x:row r="4">
      <x:c r="A4" s="31" t="str">
        <x:v>AI Classification Output</x:v>
      </x:c>
      <x:c r="B4" s="31"/>
      <x:c r="C4" s="31"/>
      <x:c r="D4" s="31"/>
      <x:c r="E4" s="31"/>
      <x:c r="F4" s="31"/>
      <x:c r="G4" s="31"/>
      <x:c r="H4" s="31"/>
      <x:c r="I4" s="31"/>
      <x:c r="J4" s="31"/>
      <x:c r="K4" s="31"/>
      <x:c r="L4" s="31"/>
      <x:c r="M4" s="31"/>
      <x:c r="N4" s="31"/>
      <x:c r="O4" s="31"/>
      <x:c r="P4" s="31"/>
    </x:row>
    <x:row r="5" ht="30" customHeight="1">
      <x:c r="A5" s="35" t="str">
        <x:v>Primary Architecture Type</x:v>
      </x:c>
      <x:c r="B5" s="44" t="str"/>
      <x:c r="C5" s="45"/>
      <x:c r="D5" s="45"/>
      <x:c r="E5" s="45"/>
      <x:c r="F5" s="45"/>
      <x:c r="G5" s="45"/>
      <x:c r="H5" s="46"/>
      <x:c r="I5" s="35" t="str">
        <x:v>Secondary Architecture Types</x:v>
      </x:c>
      <x:c r="J5" s="44" t="str"/>
      <x:c r="K5" s="45"/>
      <x:c r="L5" s="45"/>
      <x:c r="M5" s="45"/>
      <x:c r="N5" s="45"/>
      <x:c r="O5" s="45"/>
      <x:c r="P5" s="46"/>
    </x:row>
    <x:row r="6" ht="30" customHeight="1">
      <x:c r="A6" s="35" t="str">
        <x:v>Classification Confidence</x:v>
      </x:c>
      <x:c r="B6" s="44" t="str"/>
      <x:c r="C6" s="45"/>
      <x:c r="D6" s="45"/>
      <x:c r="E6" s="45"/>
      <x:c r="F6" s="45"/>
      <x:c r="G6" s="45"/>
      <x:c r="H6" s="46"/>
      <x:c r="I6" s="35" t="str">
        <x:v>Composite Pattern / Why multiple lenses apply</x:v>
      </x:c>
      <x:c r="J6" s="44" t="str"/>
      <x:c r="K6" s="45"/>
      <x:c r="L6" s="45"/>
      <x:c r="M6" s="45"/>
      <x:c r="N6" s="45"/>
      <x:c r="O6" s="45"/>
      <x:c r="P6" s="46"/>
    </x:row>
    <x:row r="7" ht="42" customHeight="1">
      <x:c r="A7" s="35" t="str">
        <x:v>In-Scope Components</x:v>
      </x:c>
      <x:c r="B7" s="44" t="str"/>
      <x:c r="C7" s="45"/>
      <x:c r="D7" s="45"/>
      <x:c r="E7" s="45"/>
      <x:c r="F7" s="45"/>
      <x:c r="G7" s="45"/>
      <x:c r="H7" s="46"/>
      <x:c r="I7" s="35" t="str">
        <x:v>Hosting &amp; Operational Control Boundary</x:v>
      </x:c>
      <x:c r="J7" s="44" t="str"/>
      <x:c r="K7" s="45"/>
      <x:c r="L7" s="45"/>
      <x:c r="M7" s="45"/>
      <x:c r="N7" s="45"/>
      <x:c r="O7" s="45"/>
      <x:c r="P7" s="46"/>
    </x:row>
    <x:row r="8" ht="42" customHeight="1">
      <x:c r="A8" s="35" t="str">
        <x:v>Integration Patterns</x:v>
      </x:c>
      <x:c r="B8" s="44" t="str"/>
      <x:c r="C8" s="45"/>
      <x:c r="D8" s="45"/>
      <x:c r="E8" s="45"/>
      <x:c r="F8" s="45"/>
      <x:c r="G8" s="45"/>
      <x:c r="H8" s="46"/>
      <x:c r="I8" s="35" t="str">
        <x:v>Data Types / Classification</x:v>
      </x:c>
      <x:c r="J8" s="44" t="str"/>
      <x:c r="K8" s="45"/>
      <x:c r="L8" s="45"/>
      <x:c r="M8" s="45"/>
      <x:c r="N8" s="45"/>
      <x:c r="O8" s="45"/>
      <x:c r="P8" s="46"/>
    </x:row>
    <x:row r="9" ht="42" customHeight="1">
      <x:c r="A9" s="35" t="str">
        <x:v>Clinical / Patient-Safety Impact</x:v>
      </x:c>
      <x:c r="B9" s="44" t="str"/>
      <x:c r="C9" s="45"/>
      <x:c r="D9" s="45"/>
      <x:c r="E9" s="45"/>
      <x:c r="F9" s="45"/>
      <x:c r="G9" s="45"/>
      <x:c r="H9" s="46"/>
      <x:c r="I9" s="35" t="str">
        <x:v>Classification Rationale with Source References</x:v>
      </x:c>
      <x:c r="J9" s="44" t="str"/>
      <x:c r="K9" s="45"/>
      <x:c r="L9" s="45"/>
      <x:c r="M9" s="45"/>
      <x:c r="N9" s="45"/>
      <x:c r="O9" s="45"/>
      <x:c r="P9" s="46"/>
    </x:row>
    <x:row r="10" ht="42" customHeight="1">
      <x:c r="A10" s="35" t="str">
        <x:v>Selected Question Modules</x:v>
      </x:c>
      <x:c r="B10" s="44" t="str"/>
      <x:c r="C10" s="45"/>
      <x:c r="D10" s="45"/>
      <x:c r="E10" s="45"/>
      <x:c r="F10" s="45"/>
      <x:c r="G10" s="45"/>
      <x:c r="H10" s="46"/>
      <x:c r="I10" s="35" t="str">
        <x:v>Excluded Modules and Rationale</x:v>
      </x:c>
      <x:c r="J10" s="44" t="str"/>
      <x:c r="K10" s="45"/>
      <x:c r="L10" s="45"/>
      <x:c r="M10" s="45"/>
      <x:c r="N10" s="45"/>
      <x:c r="O10" s="45"/>
      <x:c r="P10" s="46"/>
    </x:row>
    <x:row r="11" ht="42" customHeight="1">
      <x:c r="A11" s="35" t="str">
        <x:v>Key Assumptions</x:v>
      </x:c>
      <x:c r="B11" s="44" t="str"/>
      <x:c r="C11" s="45"/>
      <x:c r="D11" s="45"/>
      <x:c r="E11" s="45"/>
      <x:c r="F11" s="45"/>
      <x:c r="G11" s="45"/>
      <x:c r="H11" s="46"/>
      <x:c r="I11" s="35" t="str">
        <x:v>Required SME Validation</x:v>
      </x:c>
      <x:c r="J11" s="44" t="str"/>
      <x:c r="K11" s="45"/>
      <x:c r="L11" s="45"/>
      <x:c r="M11" s="45"/>
      <x:c r="N11" s="45"/>
      <x:c r="O11" s="45"/>
      <x:c r="P11" s="46"/>
    </x:row>
    <x:row r="12">
      <x:c r="A12" s="2"/>
      <x:c r="B12" s="2"/>
      <x:c r="C12" s="2"/>
      <x:c r="D12" s="2"/>
      <x:c r="E12" s="2"/>
      <x:c r="F12" s="2"/>
      <x:c r="G12" s="2"/>
      <x:c r="H12" s="2"/>
      <x:c r="I12" s="2"/>
      <x:c r="J12" s="2"/>
      <x:c r="K12" s="2"/>
      <x:c r="L12" s="2"/>
      <x:c r="M12" s="2"/>
      <x:c r="N12" s="2"/>
      <x:c r="O12" s="2"/>
      <x:c r="P12" s="2"/>
    </x:row>
    <x:row r="13">
      <x:c r="A13" s="52" t="str">
        <x:v>Detection Signals – evidence-driven classification</x:v>
      </x:c>
      <x:c r="B13" s="52"/>
      <x:c r="C13" s="52"/>
      <x:c r="D13" s="52"/>
      <x:c r="E13" s="52"/>
      <x:c r="F13" s="52"/>
      <x:c r="G13" s="52"/>
      <x:c r="H13" s="52"/>
      <x:c r="I13" s="52"/>
      <x:c r="J13" s="52"/>
      <x:c r="K13" s="52"/>
      <x:c r="L13" s="52"/>
      <x:c r="M13" s="52"/>
      <x:c r="N13" s="52"/>
      <x:c r="O13" s="52"/>
      <x:c r="P13" s="52"/>
    </x:row>
    <x:row r="14">
      <x:c r="A14" s="93" t="str">
        <x:v>Signal ID</x:v>
      </x:c>
      <x:c r="B14" s="93" t="str">
        <x:v>Detection Question</x:v>
      </x:c>
      <x:c r="C14" s="93" t="str"/>
      <x:c r="D14" s="93" t="str"/>
      <x:c r="E14" s="93" t="str">
        <x:v>Evidence / Source</x:v>
      </x:c>
      <x:c r="F14" s="93" t="str"/>
      <x:c r="G14" s="93" t="str">
        <x:v>Answer</x:v>
      </x:c>
      <x:c r="H14" s="93" t="str">
        <x:v>Points To</x:v>
      </x:c>
      <x:c r="I14" s="93" t="str"/>
      <x:c r="J14" s="93" t="str">
        <x:v>Why It Changes the Question Set</x:v>
      </x:c>
      <x:c r="K14" s="93" t="str"/>
      <x:c r="L14" s="93" t="str"/>
      <x:c r="M14" s="93" t="str">
        <x:v>Confidence</x:v>
      </x:c>
      <x:c r="N14" s="93" t="str">
        <x:v>Notes / Assumptions</x:v>
      </x:c>
      <x:c r="O14" s="93" t="str"/>
      <x:c r="P14" s="93" t="str"/>
    </x:row>
    <x:row r="15" ht="54" customHeight="1">
      <x:c r="A15" s="97" t="str">
        <x:v>SIG-001</x:v>
      </x:c>
      <x:c r="B15" s="97" t="str">
        <x:v>Does scope include a physical clinical/biomedical device or acquisition instrument?</x:v>
      </x:c>
      <x:c r="C15" s="97"/>
      <x:c r="D15" s="97"/>
      <x:c r="E15" s="98" t="str"/>
      <x:c r="F15" s="98"/>
      <x:c r="G15" s="98" t="str">
        <x:v>Unknown</x:v>
      </x:c>
      <x:c r="H15" s="97" t="str">
        <x:v>Biomedical Device</x:v>
      </x:c>
      <x:c r="I15" s="97"/>
      <x:c r="J15" s="97" t="str">
        <x:v>Adds device safety, physical operations, firmware and connectivity lenses.</x:v>
      </x:c>
      <x:c r="K15" s="97"/>
      <x:c r="L15" s="97"/>
      <x:c r="M15" s="97" t="str"/>
      <x:c r="N15" s="98" t="str"/>
      <x:c r="O15" s="98"/>
      <x:c r="P15" s="98"/>
    </x:row>
    <x:row r="16" ht="54" customHeight="1">
      <x:c r="A16" s="99" t="str">
        <x:v>SIG-002</x:v>
      </x:c>
      <x:c r="B16" s="99" t="str">
        <x:v>Does a device/workstation/gateway produce patient-linked measurements, images or reports?</x:v>
      </x:c>
      <x:c r="C16" s="99"/>
      <x:c r="D16" s="99"/>
      <x:c r="E16" s="98" t="str"/>
      <x:c r="F16" s="98"/>
      <x:c r="G16" s="98" t="str">
        <x:v>Unknown</x:v>
      </x:c>
      <x:c r="H16" s="99" t="str">
        <x:v>Biomedical Device + Epic Interface</x:v>
      </x:c>
      <x:c r="I16" s="99"/>
      <x:c r="J16" s="99" t="str">
        <x:v>Adds patient association, quality control, downtime and reconciliation scenarios.</x:v>
      </x:c>
      <x:c r="K16" s="99"/>
      <x:c r="L16" s="99"/>
      <x:c r="M16" s="99" t="str"/>
      <x:c r="N16" s="98" t="str"/>
      <x:c r="O16" s="98"/>
      <x:c r="P16" s="98"/>
    </x:row>
    <x:row r="17" ht="54" customHeight="1">
      <x:c r="A17" s="97" t="str">
        <x:v>SIG-003</x:v>
      </x:c>
      <x:c r="B17" s="97" t="str">
        <x:v>Does the solution exchange HL7, FHIR, DICOM, Epic API, order, result or clinical-document transactions?</x:v>
      </x:c>
      <x:c r="C17" s="97"/>
      <x:c r="D17" s="97"/>
      <x:c r="E17" s="98" t="str"/>
      <x:c r="F17" s="98"/>
      <x:c r="G17" s="98" t="str">
        <x:v>Unknown</x:v>
      </x:c>
      <x:c r="H17" s="97" t="str">
        <x:v>Epic / Clinical Interface</x:v>
      </x:c>
      <x:c r="I17" s="97"/>
      <x:c r="J17" s="97" t="str">
        <x:v>Adds semantic integrity, acknowledgments, duplicates, queues and clinical acceptance.</x:v>
      </x:c>
      <x:c r="K17" s="97"/>
      <x:c r="L17" s="97"/>
      <x:c r="M17" s="97" t="str"/>
      <x:c r="N17" s="98" t="str"/>
      <x:c r="O17" s="98"/>
      <x:c r="P17" s="98"/>
    </x:row>
    <x:row r="18" ht="54" customHeight="1">
      <x:c r="A18" s="99" t="str">
        <x:v>SIG-004</x:v>
      </x:c>
      <x:c r="B18" s="99" t="str">
        <x:v>Is a browser or mobile client the primary human interface?</x:v>
      </x:c>
      <x:c r="C18" s="99"/>
      <x:c r="D18" s="99"/>
      <x:c r="E18" s="98" t="str"/>
      <x:c r="F18" s="98"/>
      <x:c r="G18" s="98" t="str">
        <x:v>Unknown</x:v>
      </x:c>
      <x:c r="H18" s="99" t="str">
        <x:v>Web Application</x:v>
      </x:c>
      <x:c r="I18" s="99"/>
      <x:c r="J18" s="99" t="str">
        <x:v>Adds session, client compatibility, accessibility and journey-health questions.</x:v>
      </x:c>
      <x:c r="K18" s="99"/>
      <x:c r="L18" s="99"/>
      <x:c r="M18" s="99" t="str"/>
      <x:c r="N18" s="98" t="str"/>
      <x:c r="O18" s="98"/>
      <x:c r="P18" s="98"/>
    </x:row>
    <x:row r="19" ht="54" customHeight="1">
      <x:c r="A19" s="97" t="str">
        <x:v>SIG-005</x:v>
      </x:c>
      <x:c r="B19" s="97" t="str">
        <x:v>Does a vendor host and operate the production application/data plane?</x:v>
      </x:c>
      <x:c r="C19" s="97"/>
      <x:c r="D19" s="97"/>
      <x:c r="E19" s="98" t="str"/>
      <x:c r="F19" s="98"/>
      <x:c r="G19" s="98" t="str">
        <x:v>Unknown</x:v>
      </x:c>
      <x:c r="H19" s="97" t="str">
        <x:v>SaaS Application</x:v>
      </x:c>
      <x:c r="I19" s="97"/>
      <x:c r="J19" s="97" t="str">
        <x:v>Adds tenancy, shared responsibility, SaaS continuity and exit questions.</x:v>
      </x:c>
      <x:c r="K19" s="97"/>
      <x:c r="L19" s="97"/>
      <x:c r="M19" s="97" t="str"/>
      <x:c r="N19" s="98" t="str"/>
      <x:c r="O19" s="98"/>
      <x:c r="P19" s="98"/>
    </x:row>
    <x:row r="20" ht="54" customHeight="1">
      <x:c r="A20" s="99" t="str">
        <x:v>SIG-006</x:v>
      </x:c>
      <x:c r="B20" s="99" t="str">
        <x:v>Is the service multi-tenant or logically partitioned among customers?</x:v>
      </x:c>
      <x:c r="C20" s="99"/>
      <x:c r="D20" s="99"/>
      <x:c r="E20" s="98" t="str"/>
      <x:c r="F20" s="98"/>
      <x:c r="G20" s="98" t="str">
        <x:v>Unknown</x:v>
      </x:c>
      <x:c r="H20" s="99" t="str">
        <x:v>SaaS Application</x:v>
      </x:c>
      <x:c r="I20" s="99"/>
      <x:c r="J20" s="99" t="str">
        <x:v>Makes tenant isolation and administrative boundary material.</x:v>
      </x:c>
      <x:c r="K20" s="99"/>
      <x:c r="L20" s="99"/>
      <x:c r="M20" s="99" t="str"/>
      <x:c r="N20" s="98" t="str"/>
      <x:c r="O20" s="98"/>
      <x:c r="P20" s="98"/>
    </x:row>
    <x:row r="21" ht="54" customHeight="1">
      <x:c r="A21" s="97" t="str">
        <x:v>SIG-007</x:v>
      </x:c>
      <x:c r="B21" s="97" t="str">
        <x:v>Does AdventHealth host vendor COTS, a gateway, local database, runtime or appliance?</x:v>
      </x:c>
      <x:c r="C21" s="97"/>
      <x:c r="D21" s="97"/>
      <x:c r="E21" s="98" t="str"/>
      <x:c r="F21" s="98"/>
      <x:c r="G21" s="98" t="str">
        <x:v>Unknown</x:v>
      </x:c>
      <x:c r="H21" s="97" t="str">
        <x:v>On-Prem COTS</x:v>
      </x:c>
      <x:c r="I21" s="97"/>
      <x:c r="J21" s="97" t="str">
        <x:v>Adds local lifecycle, service identity, certificate, restore and capacity questions.</x:v>
      </x:c>
      <x:c r="K21" s="97"/>
      <x:c r="L21" s="97"/>
      <x:c r="M21" s="97" t="str"/>
      <x:c r="N21" s="98" t="str"/>
      <x:c r="O21" s="98"/>
      <x:c r="P21" s="98"/>
    </x:row>
    <x:row r="22" ht="54" customHeight="1">
      <x:c r="A22" s="99" t="str">
        <x:v>SIG-008</x:v>
      </x:c>
      <x:c r="B22" s="99" t="str">
        <x:v>Does AdventHealth deploy/manage public-cloud resources or managed services?</x:v>
      </x:c>
      <x:c r="C22" s="99"/>
      <x:c r="D22" s="99"/>
      <x:c r="E22" s="98" t="str"/>
      <x:c r="F22" s="98"/>
      <x:c r="G22" s="98" t="str">
        <x:v>Unknown</x:v>
      </x:c>
      <x:c r="H22" s="99" t="str">
        <x:v>Cloud / API</x:v>
      </x:c>
      <x:c r="I22" s="99"/>
      <x:c r="J22" s="99" t="str">
        <x:v>Adds landing zone, workload identity, IaC, cloud resilience and FinOps questions.</x:v>
      </x:c>
      <x:c r="K22" s="99"/>
      <x:c r="L22" s="99"/>
      <x:c r="M22" s="99" t="str"/>
      <x:c r="N22" s="98" t="str"/>
      <x:c r="O22" s="98"/>
      <x:c r="P22" s="98"/>
    </x:row>
    <x:row r="23" ht="54" customHeight="1">
      <x:c r="A23" s="97" t="str">
        <x:v>SIG-009</x:v>
      </x:c>
      <x:c r="B23" s="97" t="str">
        <x:v>Does the solution expose or consume APIs, webhooks or event streams?</x:v>
      </x:c>
      <x:c r="C23" s="97"/>
      <x:c r="D23" s="97"/>
      <x:c r="E23" s="98" t="str"/>
      <x:c r="F23" s="98"/>
      <x:c r="G23" s="98" t="str">
        <x:v>Unknown</x:v>
      </x:c>
      <x:c r="H23" s="97" t="str">
        <x:v>Cloud / API</x:v>
      </x:c>
      <x:c r="I23" s="97"/>
      <x:c r="J23" s="97" t="str">
        <x:v>Adds contract, rate limit, idempotency and distributed tracing questions.</x:v>
      </x:c>
      <x:c r="K23" s="97"/>
      <x:c r="L23" s="97"/>
      <x:c r="M23" s="97" t="str"/>
      <x:c r="N23" s="98" t="str"/>
      <x:c r="O23" s="98"/>
      <x:c r="P23" s="98"/>
    </x:row>
    <x:row r="24" ht="54" customHeight="1">
      <x:c r="A24" s="99" t="str">
        <x:v>SIG-010</x:v>
      </x:c>
      <x:c r="B24" s="99" t="str">
        <x:v>Does the solution ingest, transform, curate or publish analytical datasets/metrics?</x:v>
      </x:c>
      <x:c r="C24" s="99"/>
      <x:c r="D24" s="99"/>
      <x:c r="E24" s="98" t="str"/>
      <x:c r="F24" s="98"/>
      <x:c r="G24" s="98" t="str">
        <x:v>Unknown</x:v>
      </x:c>
      <x:c r="H24" s="99" t="str">
        <x:v>Data / Analytics</x:v>
      </x:c>
      <x:c r="I24" s="99"/>
      <x:c r="J24" s="99" t="str">
        <x:v>Adds lineage, data quality, semantics, schema and workload isolation.</x:v>
      </x:c>
      <x:c r="K24" s="99"/>
      <x:c r="L24" s="99"/>
      <x:c r="M24" s="99" t="str"/>
      <x:c r="N24" s="98" t="str"/>
      <x:c r="O24" s="98"/>
      <x:c r="P24" s="98"/>
    </x:row>
    <x:row r="25" ht="54" customHeight="1">
      <x:c r="A25" s="97" t="str">
        <x:v>SIG-011</x:v>
      </x:c>
      <x:c r="B25" s="97" t="str">
        <x:v>Does it use AI/ML, generative AI, an external model, prediction or automated decision support?</x:v>
      </x:c>
      <x:c r="C25" s="97"/>
      <x:c r="D25" s="97"/>
      <x:c r="E25" s="98" t="str"/>
      <x:c r="F25" s="98"/>
      <x:c r="G25" s="98" t="str">
        <x:v>Unknown</x:v>
      </x:c>
      <x:c r="H25" s="97" t="str">
        <x:v>AI / ML</x:v>
      </x:c>
      <x:c r="I25" s="97"/>
      <x:c r="J25" s="97" t="str">
        <x:v>Adds intended use, model/data validation, oversight, monitoring and fallback.</x:v>
      </x:c>
      <x:c r="K25" s="97"/>
      <x:c r="L25" s="97"/>
      <x:c r="M25" s="97" t="str"/>
      <x:c r="N25" s="98" t="str"/>
      <x:c r="O25" s="98"/>
      <x:c r="P25" s="98"/>
    </x:row>
    <x:row r="26" ht="54" customHeight="1">
      <x:c r="A26" s="99" t="str">
        <x:v>SIG-012</x:v>
      </x:c>
      <x:c r="B26" s="99" t="str">
        <x:v>Is network, compute, storage, virtualization or platform infrastructure the main deliverable?</x:v>
      </x:c>
      <x:c r="C26" s="99"/>
      <x:c r="D26" s="99"/>
      <x:c r="E26" s="98" t="str"/>
      <x:c r="F26" s="98"/>
      <x:c r="G26" s="98" t="str">
        <x:v>Unknown</x:v>
      </x:c>
      <x:c r="H26" s="99" t="str">
        <x:v>Infrastructure / Network</x:v>
      </x:c>
      <x:c r="I26" s="99"/>
      <x:c r="J26" s="99" t="str">
        <x:v>Adds topology, control-plane, capacity, automation and maintenance scenarios.</x:v>
      </x:c>
      <x:c r="K26" s="99"/>
      <x:c r="L26" s="99"/>
      <x:c r="M26" s="99" t="str"/>
      <x:c r="N26" s="98" t="str"/>
      <x:c r="O26" s="98"/>
      <x:c r="P26" s="98"/>
    </x:row>
    <x:row r="27" ht="54" customHeight="1">
      <x:c r="A27" s="97" t="str">
        <x:v>SIG-013</x:v>
      </x:c>
      <x:c r="B27" s="97" t="str">
        <x:v>Does the solution affect care delivery, clinical interpretation, orders, results or documentation?</x:v>
      </x:c>
      <x:c r="C27" s="97"/>
      <x:c r="D27" s="97"/>
      <x:c r="E27" s="98" t="str"/>
      <x:c r="F27" s="98"/>
      <x:c r="G27" s="98" t="str">
        <x:v>Unknown</x:v>
      </x:c>
      <x:c r="H27" s="97" t="str">
        <x:v>Clinical impact modifier</x:v>
      </x:c>
      <x:c r="I27" s="97"/>
      <x:c r="J27" s="97" t="str">
        <x:v>Raises the required depth of safety, downtime, integrity and acceptance analysis.</x:v>
      </x:c>
      <x:c r="K27" s="97"/>
      <x:c r="L27" s="97"/>
      <x:c r="M27" s="97" t="str"/>
      <x:c r="N27" s="98" t="str"/>
      <x:c r="O27" s="98"/>
      <x:c r="P27" s="98"/>
    </x:row>
    <x:row r="28" ht="54" customHeight="1">
      <x:c r="A28" s="99" t="str">
        <x:v>SIG-014</x:v>
      </x:c>
      <x:c r="B28" s="99" t="str">
        <x:v>Are sensitive data or privileged administrative paths present?</x:v>
      </x:c>
      <x:c r="C28" s="99"/>
      <x:c r="D28" s="99"/>
      <x:c r="E28" s="98" t="str"/>
      <x:c r="F28" s="98"/>
      <x:c r="G28" s="98" t="str">
        <x:v>Unknown</x:v>
      </x:c>
      <x:c r="H28" s="99" t="str">
        <x:v>Security/data modifier</x:v>
      </x:c>
      <x:c r="I28" s="99"/>
      <x:c r="J28" s="99" t="str">
        <x:v>Activates applicable trust, access, encryption, logging and data-lifecycle scenarios.</x:v>
      </x:c>
      <x:c r="K28" s="99"/>
      <x:c r="L28" s="99"/>
      <x:c r="M28" s="99" t="str"/>
      <x:c r="N28" s="98" t="str"/>
      <x:c r="O28" s="98"/>
      <x:c r="P28" s="98"/>
    </x:row>
    <x:row r="29" ht="54" customHeight="1">
      <x:c r="A29" s="97" t="str">
        <x:v>SIG-015</x:v>
      </x:c>
      <x:c r="B29" s="97" t="str">
        <x:v>Are there local and vendor/cloud components in one end-to-end service?</x:v>
      </x:c>
      <x:c r="C29" s="97"/>
      <x:c r="D29" s="97"/>
      <x:c r="E29" s="98" t="str"/>
      <x:c r="F29" s="98"/>
      <x:c r="G29" s="98" t="str">
        <x:v>Unknown</x:v>
      </x:c>
      <x:c r="H29" s="97" t="str">
        <x:v>Composite / Hybrid</x:v>
      </x:c>
      <x:c r="I29" s="97"/>
      <x:c r="J29" s="97" t="str">
        <x:v>Requires multiple modules and whole-service dependency/recovery analysis.</x:v>
      </x:c>
      <x:c r="K29" s="97"/>
      <x:c r="L29" s="97"/>
      <x:c r="M29" s="97" t="str"/>
      <x:c r="N29" s="98" t="str"/>
      <x:c r="O29" s="98"/>
      <x:c r="P29" s="98"/>
    </x:row>
    <x:row r="30" ht="54" customHeight="1">
      <x:c r="A30" s="99" t="str">
        <x:v>SIG-016</x:v>
      </x:c>
      <x:c r="B30" s="99" t="str">
        <x:v>Is the change only configuration, facility expansion or another use of an existing approved product?</x:v>
      </x:c>
      <x:c r="C30" s="99"/>
      <x:c r="D30" s="99"/>
      <x:c r="E30" s="98" t="str"/>
      <x:c r="F30" s="98"/>
      <x:c r="G30" s="98" t="str">
        <x:v>Unknown</x:v>
      </x:c>
      <x:c r="H30" s="99" t="str">
        <x:v>Change-scope modifier</x:v>
      </x:c>
      <x:c r="I30" s="99"/>
      <x:c r="J30" s="99" t="str">
        <x:v>Focuses selection on changed boundaries, scale, data, workflow and dependencies.</x:v>
      </x:c>
      <x:c r="K30" s="99"/>
      <x:c r="L30" s="99"/>
      <x:c r="M30" s="99" t="str"/>
      <x:c r="N30" s="98" t="str"/>
      <x:c r="O30" s="98"/>
      <x:c r="P30" s="98"/>
    </x:row>
    <x:row r="31">
      <x:c r="A31" s="2"/>
      <x:c r="B31" s="2"/>
      <x:c r="C31" s="2"/>
      <x:c r="D31" s="2"/>
      <x:c r="E31" s="2"/>
      <x:c r="F31" s="2"/>
      <x:c r="G31" s="2"/>
      <x:c r="H31" s="2"/>
      <x:c r="I31" s="2"/>
      <x:c r="J31" s="2"/>
      <x:c r="K31" s="2"/>
      <x:c r="L31" s="2"/>
      <x:c r="M31" s="2"/>
      <x:c r="N31" s="2"/>
      <x:c r="O31" s="2"/>
      <x:c r="P31" s="2"/>
    </x:row>
    <x:row r="32">
      <x:c r="A32" s="2"/>
      <x:c r="B32" s="2"/>
      <x:c r="C32" s="2"/>
      <x:c r="D32" s="2"/>
      <x:c r="E32" s="2"/>
      <x:c r="F32" s="2"/>
      <x:c r="G32" s="2"/>
      <x:c r="H32" s="2"/>
      <x:c r="I32" s="2"/>
      <x:c r="J32" s="2"/>
      <x:c r="K32" s="2"/>
      <x:c r="L32" s="2"/>
      <x:c r="M32" s="2"/>
      <x:c r="N32" s="2"/>
      <x:c r="O32" s="2"/>
      <x:c r="P32" s="2"/>
    </x:row>
    <x:row r="33">
      <x:c r="A33" s="31" t="str">
        <x:v>Architecture-Type Reference and Default Modules</x:v>
      </x:c>
      <x:c r="B33" s="31"/>
      <x:c r="C33" s="31"/>
      <x:c r="D33" s="31"/>
      <x:c r="E33" s="31"/>
      <x:c r="F33" s="31"/>
      <x:c r="G33" s="31"/>
      <x:c r="H33" s="31"/>
      <x:c r="I33" s="31"/>
      <x:c r="J33" s="31"/>
      <x:c r="K33" s="31"/>
      <x:c r="L33" s="31"/>
      <x:c r="M33" s="31"/>
      <x:c r="N33" s="31"/>
      <x:c r="O33" s="31"/>
      <x:c r="P33" s="31"/>
    </x:row>
    <x:row r="34">
      <x:c r="A34" s="93" t="str">
        <x:v>Architecture Type</x:v>
      </x:c>
      <x:c r="B34" s="93" t="str"/>
      <x:c r="C34" s="93" t="str">
        <x:v>Detection Pattern</x:v>
      </x:c>
      <x:c r="D34" s="93" t="str"/>
      <x:c r="E34" s="93" t="str"/>
      <x:c r="F34" s="93" t="str">
        <x:v>Default Modules</x:v>
      </x:c>
      <x:c r="G34" s="93" t="str"/>
      <x:c r="H34" s="93" t="str">
        <x:v>Common Conditional Modules</x:v>
      </x:c>
      <x:c r="I34" s="93" t="str"/>
      <x:c r="J34" s="93" t="str"/>
      <x:c r="K34" s="93" t="str"/>
      <x:c r="L34" s="93" t="str">
        <x:v>Not Automatically Assumed</x:v>
      </x:c>
      <x:c r="M34" s="93" t="str"/>
      <x:c r="N34" s="93" t="str"/>
      <x:c r="O34" s="93" t="str"/>
      <x:c r="P34" s="93" t="str"/>
    </x:row>
    <x:row r="35" ht="58" customHeight="1">
      <x:c r="A35" s="97" t="str">
        <x:v>Biomedical Device</x:v>
      </x:c>
      <x:c r="B35" s="97"/>
      <x:c r="C35" s="97" t="str">
        <x:v>Physical/embedded clinical device, acquisition system, gateway or device workstation</x:v>
      </x:c>
      <x:c r="D35" s="97"/>
      <x:c r="E35" s="97"/>
      <x:c r="F35" s="97" t="str">
        <x:v>Core + BIO</x:v>
      </x:c>
      <x:c r="G35" s="97"/>
      <x:c r="H35" s="97" t="str">
        <x:v>EPI when clinical exchange; ONP for local gateway; INF for material network design</x:v>
      </x:c>
      <x:c r="I35" s="97"/>
      <x:c r="J35" s="97"/>
      <x:c r="K35" s="97"/>
      <x:c r="L35" s="97" t="str">
        <x:v>Do not assume SaaS, public web or AI.</x:v>
      </x:c>
      <x:c r="M35" s="97"/>
      <x:c r="N35" s="97"/>
      <x:c r="O35" s="97"/>
      <x:c r="P35" s="97"/>
    </x:row>
    <x:row r="36" ht="58" customHeight="1">
      <x:c r="A36" s="99" t="str">
        <x:v>Web Application</x:v>
      </x:c>
      <x:c r="B36" s="99"/>
      <x:c r="C36" s="99" t="str">
        <x:v>Browser/mobile UI with interactive user journeys</x:v>
      </x:c>
      <x:c r="D36" s="99"/>
      <x:c r="E36" s="99"/>
      <x:c r="F36" s="99" t="str">
        <x:v>Core + WEB</x:v>
      </x:c>
      <x:c r="G36" s="99"/>
      <x:c r="H36" s="99" t="str">
        <x:v>SAA if vendor-hosted; CLD for customer cloud/API; AIM if AI-enabled</x:v>
      </x:c>
      <x:c r="I36" s="99"/>
      <x:c r="J36" s="99"/>
      <x:c r="K36" s="99"/>
      <x:c r="L36" s="99" t="str">
        <x:v>Do not assume device or Epic integration.</x:v>
      </x:c>
      <x:c r="M36" s="99"/>
      <x:c r="N36" s="99"/>
      <x:c r="O36" s="99"/>
      <x:c r="P36" s="99"/>
    </x:row>
    <x:row r="37" ht="58" customHeight="1">
      <x:c r="A37" s="97" t="str">
        <x:v>SaaS Application</x:v>
      </x:c>
      <x:c r="B37" s="97"/>
      <x:c r="C37" s="97" t="str">
        <x:v>Vendor-hosted production app/data plane</x:v>
      </x:c>
      <x:c r="D37" s="97"/>
      <x:c r="E37" s="97"/>
      <x:c r="F37" s="97" t="str">
        <x:v>Core + SAA</x:v>
      </x:c>
      <x:c r="G37" s="97"/>
      <x:c r="H37" s="97" t="str">
        <x:v>WEB for browser UX; CLD/API for integration; DAT/AIM when applicable</x:v>
      </x:c>
      <x:c r="I37" s="97"/>
      <x:c r="J37" s="97"/>
      <x:c r="K37" s="97"/>
      <x:c r="L37" s="97" t="str">
        <x:v>Do not apply on-prem server/backup questions to vendor infrastructure.</x:v>
      </x:c>
      <x:c r="M37" s="97"/>
      <x:c r="N37" s="97"/>
      <x:c r="O37" s="97"/>
      <x:c r="P37" s="97"/>
    </x:row>
    <x:row r="38" ht="58" customHeight="1">
      <x:c r="A38" s="99" t="str">
        <x:v>Epic / Clinical Interface</x:v>
      </x:c>
      <x:c r="B38" s="99"/>
      <x:c r="C38" s="99" t="str">
        <x:v>HL7/FHIR/DICOM/Epic API or clinical transaction workflow</x:v>
      </x:c>
      <x:c r="D38" s="99"/>
      <x:c r="E38" s="99"/>
      <x:c r="F38" s="99" t="str">
        <x:v>Core + EPI</x:v>
      </x:c>
      <x:c r="G38" s="99"/>
      <x:c r="H38" s="99" t="str">
        <x:v>BIO for device; ONP/SAA/CLD based on integration components</x:v>
      </x:c>
      <x:c r="I38" s="99"/>
      <x:c r="J38" s="99"/>
      <x:c r="K38" s="99"/>
      <x:c r="L38" s="99" t="str">
        <x:v>Do not apply generic web or AI modules without evidence.</x:v>
      </x:c>
      <x:c r="M38" s="99"/>
      <x:c r="N38" s="99"/>
      <x:c r="O38" s="99"/>
      <x:c r="P38" s="99"/>
    </x:row>
    <x:row r="39" ht="58" customHeight="1">
      <x:c r="A39" s="97" t="str">
        <x:v>On-Prem COTS</x:v>
      </x:c>
      <x:c r="B39" s="97"/>
      <x:c r="C39" s="97" t="str">
        <x:v>Customer-hosted vendor application, gateway, appliance or client/server stack</x:v>
      </x:c>
      <x:c r="D39" s="97"/>
      <x:c r="E39" s="97"/>
      <x:c r="F39" s="97" t="str">
        <x:v>Core + ONP</x:v>
      </x:c>
      <x:c r="G39" s="97"/>
      <x:c r="H39" s="97" t="str">
        <x:v>WEB/EPI/BIO/INF only when those elements exist</x:v>
      </x:c>
      <x:c r="I39" s="97"/>
      <x:c r="J39" s="97"/>
      <x:c r="K39" s="97"/>
      <x:c r="L39" s="97" t="str">
        <x:v>Do not assume tenancy or vendor-cloud controls.</x:v>
      </x:c>
      <x:c r="M39" s="97"/>
      <x:c r="N39" s="97"/>
      <x:c r="O39" s="97"/>
      <x:c r="P39" s="97"/>
    </x:row>
    <x:row r="40" ht="58" customHeight="1">
      <x:c r="A40" s="99" t="str">
        <x:v>Cloud / API</x:v>
      </x:c>
      <x:c r="B40" s="99"/>
      <x:c r="C40" s="99" t="str">
        <x:v>Customer-managed cloud-native workload, API or event service</x:v>
      </x:c>
      <x:c r="D40" s="99"/>
      <x:c r="E40" s="99"/>
      <x:c r="F40" s="99" t="str">
        <x:v>Core + CLD</x:v>
      </x:c>
      <x:c r="G40" s="99"/>
      <x:c r="H40" s="99" t="str">
        <x:v>WEB/DAT/AIM depending on workload</x:v>
      </x:c>
      <x:c r="I40" s="99"/>
      <x:c r="J40" s="99"/>
      <x:c r="K40" s="99"/>
      <x:c r="L40" s="99" t="str">
        <x:v>Do not use SaaS questions unless vendor operates the service.</x:v>
      </x:c>
      <x:c r="M40" s="99"/>
      <x:c r="N40" s="99"/>
      <x:c r="O40" s="99"/>
      <x:c r="P40" s="99"/>
    </x:row>
    <x:row r="41" ht="58" customHeight="1">
      <x:c r="A41" s="97" t="str">
        <x:v>Data / Analytics</x:v>
      </x:c>
      <x:c r="B41" s="97"/>
      <x:c r="C41" s="97" t="str">
        <x:v>Data platform, pipeline, reporting, analytics or data product</x:v>
      </x:c>
      <x:c r="D41" s="97"/>
      <x:c r="E41" s="97"/>
      <x:c r="F41" s="97" t="str">
        <x:v>Core + DAT</x:v>
      </x:c>
      <x:c r="G41" s="97"/>
      <x:c r="H41" s="97" t="str">
        <x:v>CLD/SAA/EPI/AIM based on hosting and use</x:v>
      </x:c>
      <x:c r="I41" s="97"/>
      <x:c r="J41" s="97"/>
      <x:c r="K41" s="97"/>
      <x:c r="L41" s="97" t="str">
        <x:v>Do not imply AI merely because analytics is present.</x:v>
      </x:c>
      <x:c r="M41" s="97"/>
      <x:c r="N41" s="97"/>
      <x:c r="O41" s="97"/>
      <x:c r="P41" s="97"/>
    </x:row>
    <x:row r="42" ht="58" customHeight="1">
      <x:c r="A42" s="99" t="str">
        <x:v>AI / ML</x:v>
      </x:c>
      <x:c r="B42" s="99"/>
      <x:c r="C42" s="99" t="str">
        <x:v>Model, prediction, generative AI, RAG, agent or automated decision support</x:v>
      </x:c>
      <x:c r="D42" s="99"/>
      <x:c r="E42" s="99"/>
      <x:c r="F42" s="99" t="str">
        <x:v>Core + AIM</x:v>
      </x:c>
      <x:c r="G42" s="99"/>
      <x:c r="H42" s="99" t="str">
        <x:v>WEB/SAA/CLD/DAT based on delivery stack</x:v>
      </x:c>
      <x:c r="I42" s="99"/>
      <x:c r="J42" s="99"/>
      <x:c r="K42" s="99"/>
      <x:c r="L42" s="99" t="str">
        <x:v>Do not treat all automation as AI.</x:v>
      </x:c>
      <x:c r="M42" s="99"/>
      <x:c r="N42" s="99"/>
      <x:c r="O42" s="99"/>
      <x:c r="P42" s="99"/>
    </x:row>
    <x:row r="43" ht="58" customHeight="1">
      <x:c r="A43" s="97" t="str">
        <x:v>Infrastructure / Network</x:v>
      </x:c>
      <x:c r="B43" s="97"/>
      <x:c r="C43" s="97" t="str">
        <x:v>Network, compute, storage, virtualization or shared platform</x:v>
      </x:c>
      <x:c r="D43" s="97"/>
      <x:c r="E43" s="97"/>
      <x:c r="F43" s="97" t="str">
        <x:v>Core + INF</x:v>
      </x:c>
      <x:c r="G43" s="97"/>
      <x:c r="H43" s="97" t="str">
        <x:v>ONP/CLD/BIO only where supported components depend on it</x:v>
      </x:c>
      <x:c r="I43" s="97"/>
      <x:c r="J43" s="97"/>
      <x:c r="K43" s="97"/>
      <x:c r="L43" s="97" t="str">
        <x:v>Do not add application workflow questions without an application.</x:v>
      </x:c>
      <x:c r="M43" s="97"/>
      <x:c r="N43" s="97"/>
      <x:c r="O43" s="97"/>
      <x:c r="P43" s="97"/>
    </x:row>
    <x:row r="44">
      <x:c r="A44" s="2"/>
      <x:c r="B44" s="2"/>
      <x:c r="C44" s="2"/>
      <x:c r="D44" s="2"/>
      <x:c r="E44" s="2"/>
      <x:c r="F44" s="2"/>
      <x:c r="G44" s="2"/>
      <x:c r="H44" s="2"/>
      <x:c r="I44" s="2"/>
      <x:c r="J44" s="2"/>
      <x:c r="K44" s="2"/>
      <x:c r="L44" s="2"/>
      <x:c r="M44" s="2"/>
      <x:c r="N44" s="2"/>
      <x:c r="O44" s="2"/>
      <x:c r="P44" s="2"/>
    </x:row>
    <x:row r="45">
      <x:c r="A45" s="2"/>
      <x:c r="B45" s="2"/>
      <x:c r="C45" s="2"/>
      <x:c r="D45" s="2"/>
      <x:c r="E45" s="2"/>
      <x:c r="F45" s="2"/>
      <x:c r="G45" s="2"/>
      <x:c r="H45" s="2"/>
      <x:c r="I45" s="2"/>
      <x:c r="J45" s="2"/>
      <x:c r="K45" s="2"/>
      <x:c r="L45" s="2"/>
      <x:c r="M45" s="2"/>
      <x:c r="N45" s="2"/>
      <x:c r="O45" s="2"/>
      <x:c r="P45" s="2"/>
    </x:row>
    <x:row r="46">
      <x:c r="A46" s="2"/>
      <x:c r="B46" s="2"/>
      <x:c r="C46" s="2"/>
      <x:c r="D46" s="2"/>
      <x:c r="E46" s="2"/>
      <x:c r="F46" s="2"/>
      <x:c r="G46" s="2"/>
      <x:c r="H46" s="2"/>
      <x:c r="I46" s="2"/>
      <x:c r="J46" s="2"/>
      <x:c r="K46" s="2"/>
      <x:c r="L46" s="2"/>
      <x:c r="M46" s="2"/>
      <x:c r="N46" s="2"/>
      <x:c r="O46" s="2"/>
      <x:c r="P46" s="2"/>
    </x:row>
    <x:row r="47">
      <x:c r="A47" s="2"/>
      <x:c r="B47" s="2"/>
      <x:c r="C47" s="2"/>
      <x:c r="D47" s="2"/>
      <x:c r="E47" s="2"/>
      <x:c r="F47" s="2"/>
      <x:c r="G47" s="2"/>
      <x:c r="H47" s="2"/>
      <x:c r="I47" s="2"/>
      <x:c r="J47" s="2"/>
      <x:c r="K47" s="2"/>
      <x:c r="L47" s="2"/>
      <x:c r="M47" s="2"/>
      <x:c r="N47" s="2"/>
      <x:c r="O47" s="2"/>
      <x:c r="P47" s="2"/>
    </x:row>
    <x:row r="48">
      <x:c r="A48" s="2"/>
      <x:c r="B48" s="2"/>
      <x:c r="C48" s="2"/>
      <x:c r="D48" s="2"/>
      <x:c r="E48" s="2"/>
      <x:c r="F48" s="2"/>
      <x:c r="G48" s="2"/>
      <x:c r="H48" s="2"/>
      <x:c r="I48" s="2"/>
      <x:c r="J48" s="2"/>
      <x:c r="K48" s="2"/>
      <x:c r="L48" s="2"/>
      <x:c r="M48" s="2"/>
      <x:c r="N48" s="2"/>
      <x:c r="O48" s="2"/>
      <x:c r="P48" s="2"/>
    </x:row>
    <x:row r="49">
      <x:c r="A49" s="2"/>
      <x:c r="B49" s="2"/>
      <x:c r="C49" s="2"/>
      <x:c r="D49" s="2"/>
      <x:c r="E49" s="2"/>
      <x:c r="F49" s="2"/>
      <x:c r="G49" s="2"/>
      <x:c r="H49" s="2"/>
      <x:c r="I49" s="2"/>
      <x:c r="J49" s="2"/>
      <x:c r="K49" s="2"/>
      <x:c r="L49" s="2"/>
      <x:c r="M49" s="2"/>
      <x:c r="N49" s="2"/>
      <x:c r="O49" s="2"/>
      <x:c r="P49" s="2"/>
    </x:row>
    <x:row r="50">
      <x:c r="A50" s="2"/>
      <x:c r="B50" s="2"/>
      <x:c r="C50" s="2"/>
      <x:c r="D50" s="2"/>
      <x:c r="E50" s="2"/>
      <x:c r="F50" s="2"/>
      <x:c r="G50" s="2"/>
      <x:c r="H50" s="2"/>
      <x:c r="I50" s="2"/>
      <x:c r="J50" s="2"/>
      <x:c r="K50" s="2"/>
      <x:c r="L50" s="2"/>
      <x:c r="M50" s="2"/>
      <x:c r="N50" s="2"/>
      <x:c r="O50" s="2"/>
      <x:c r="P50" s="2"/>
    </x:row>
  </x:sheetData>
  <x:mergeCells>
    <x:mergeCell ref="A1:P1"/>
    <x:mergeCell ref="A2:P2"/>
    <x:mergeCell ref="A4:P4"/>
    <x:mergeCell ref="B5:H5"/>
    <x:mergeCell ref="J5:P5"/>
    <x:mergeCell ref="B6:H6"/>
    <x:mergeCell ref="J6:P6"/>
    <x:mergeCell ref="B7:H7"/>
    <x:mergeCell ref="J7:P7"/>
    <x:mergeCell ref="B8:H8"/>
    <x:mergeCell ref="J8:P8"/>
    <x:mergeCell ref="B9:H9"/>
    <x:mergeCell ref="J9:P9"/>
    <x:mergeCell ref="B10:H10"/>
    <x:mergeCell ref="J10:P10"/>
    <x:mergeCell ref="B11:H11"/>
    <x:mergeCell ref="J11:P11"/>
    <x:mergeCell ref="A13:P13"/>
    <x:mergeCell ref="B14:D14"/>
    <x:mergeCell ref="E14:F14"/>
    <x:mergeCell ref="H14:I14"/>
    <x:mergeCell ref="J14:L14"/>
    <x:mergeCell ref="N14:P14"/>
    <x:mergeCell ref="B15:D15"/>
    <x:mergeCell ref="E15:F15"/>
    <x:mergeCell ref="H15:I15"/>
    <x:mergeCell ref="J15:L15"/>
    <x:mergeCell ref="N15:P15"/>
    <x:mergeCell ref="B16:D16"/>
    <x:mergeCell ref="E16:F16"/>
    <x:mergeCell ref="H16:I16"/>
    <x:mergeCell ref="J16:L16"/>
    <x:mergeCell ref="N16:P16"/>
    <x:mergeCell ref="B17:D17"/>
    <x:mergeCell ref="E17:F17"/>
    <x:mergeCell ref="H17:I17"/>
    <x:mergeCell ref="J17:L17"/>
    <x:mergeCell ref="N17:P17"/>
    <x:mergeCell ref="B18:D18"/>
    <x:mergeCell ref="E18:F18"/>
    <x:mergeCell ref="H18:I18"/>
    <x:mergeCell ref="J18:L18"/>
    <x:mergeCell ref="N18:P18"/>
    <x:mergeCell ref="B19:D19"/>
    <x:mergeCell ref="E19:F19"/>
    <x:mergeCell ref="H19:I19"/>
    <x:mergeCell ref="J19:L19"/>
    <x:mergeCell ref="N19:P19"/>
    <x:mergeCell ref="B20:D20"/>
    <x:mergeCell ref="E20:F20"/>
    <x:mergeCell ref="H20:I20"/>
    <x:mergeCell ref="J20:L20"/>
    <x:mergeCell ref="N20:P20"/>
    <x:mergeCell ref="B21:D21"/>
    <x:mergeCell ref="E21:F21"/>
    <x:mergeCell ref="H21:I21"/>
    <x:mergeCell ref="J21:L21"/>
    <x:mergeCell ref="N21:P21"/>
    <x:mergeCell ref="B22:D22"/>
    <x:mergeCell ref="E22:F22"/>
    <x:mergeCell ref="H22:I22"/>
    <x:mergeCell ref="J22:L22"/>
    <x:mergeCell ref="N22:P22"/>
    <x:mergeCell ref="B23:D23"/>
    <x:mergeCell ref="E23:F23"/>
    <x:mergeCell ref="H23:I23"/>
    <x:mergeCell ref="J23:L23"/>
    <x:mergeCell ref="N23:P23"/>
    <x:mergeCell ref="B24:D24"/>
    <x:mergeCell ref="E24:F24"/>
    <x:mergeCell ref="H24:I24"/>
    <x:mergeCell ref="J24:L24"/>
    <x:mergeCell ref="N24:P24"/>
    <x:mergeCell ref="B25:D25"/>
    <x:mergeCell ref="E25:F25"/>
    <x:mergeCell ref="H25:I25"/>
    <x:mergeCell ref="J25:L25"/>
    <x:mergeCell ref="N25:P25"/>
    <x:mergeCell ref="B26:D26"/>
    <x:mergeCell ref="E26:F26"/>
    <x:mergeCell ref="H26:I26"/>
    <x:mergeCell ref="J26:L26"/>
    <x:mergeCell ref="N26:P26"/>
    <x:mergeCell ref="B27:D27"/>
    <x:mergeCell ref="E27:F27"/>
    <x:mergeCell ref="H27:I27"/>
    <x:mergeCell ref="J27:L27"/>
    <x:mergeCell ref="N27:P27"/>
    <x:mergeCell ref="B28:D28"/>
    <x:mergeCell ref="E28:F28"/>
    <x:mergeCell ref="H28:I28"/>
    <x:mergeCell ref="J28:L28"/>
    <x:mergeCell ref="N28:P28"/>
    <x:mergeCell ref="B29:D29"/>
    <x:mergeCell ref="E29:F29"/>
    <x:mergeCell ref="H29:I29"/>
    <x:mergeCell ref="J29:L29"/>
    <x:mergeCell ref="N29:P29"/>
    <x:mergeCell ref="B30:D30"/>
    <x:mergeCell ref="E30:F30"/>
    <x:mergeCell ref="H30:I30"/>
    <x:mergeCell ref="J30:L30"/>
    <x:mergeCell ref="N30:P30"/>
    <x:mergeCell ref="A33:P33"/>
    <x:mergeCell ref="A34:B34"/>
    <x:mergeCell ref="C34:E34"/>
    <x:mergeCell ref="F34:G34"/>
    <x:mergeCell ref="H34:K34"/>
    <x:mergeCell ref="L34:P34"/>
    <x:mergeCell ref="A35:B35"/>
    <x:mergeCell ref="C35:E35"/>
    <x:mergeCell ref="F35:G35"/>
    <x:mergeCell ref="H35:K35"/>
    <x:mergeCell ref="L35:P35"/>
    <x:mergeCell ref="A36:B36"/>
    <x:mergeCell ref="C36:E36"/>
    <x:mergeCell ref="F36:G36"/>
    <x:mergeCell ref="H36:K36"/>
    <x:mergeCell ref="L36:P36"/>
    <x:mergeCell ref="A37:B37"/>
    <x:mergeCell ref="C37:E37"/>
    <x:mergeCell ref="F37:G37"/>
    <x:mergeCell ref="H37:K37"/>
    <x:mergeCell ref="L37:P37"/>
    <x:mergeCell ref="A38:B38"/>
    <x:mergeCell ref="C38:E38"/>
    <x:mergeCell ref="F38:G38"/>
    <x:mergeCell ref="H38:K38"/>
    <x:mergeCell ref="L38:P38"/>
    <x:mergeCell ref="A39:B39"/>
    <x:mergeCell ref="C39:E39"/>
    <x:mergeCell ref="F39:G39"/>
    <x:mergeCell ref="H39:K39"/>
    <x:mergeCell ref="L39:P39"/>
    <x:mergeCell ref="A40:B40"/>
    <x:mergeCell ref="C40:E40"/>
    <x:mergeCell ref="F40:G40"/>
    <x:mergeCell ref="H40:K40"/>
    <x:mergeCell ref="L40:P40"/>
    <x:mergeCell ref="A41:B41"/>
    <x:mergeCell ref="C41:E41"/>
    <x:mergeCell ref="F41:G41"/>
    <x:mergeCell ref="H41:K41"/>
    <x:mergeCell ref="L41:P41"/>
    <x:mergeCell ref="A42:B42"/>
    <x:mergeCell ref="C42:E42"/>
    <x:mergeCell ref="F42:G42"/>
    <x:mergeCell ref="H42:K42"/>
    <x:mergeCell ref="L42:P42"/>
    <x:mergeCell ref="A43:B43"/>
    <x:mergeCell ref="C43:E43"/>
    <x:mergeCell ref="F43:G43"/>
    <x:mergeCell ref="H43:K43"/>
    <x:mergeCell ref="L43:P43"/>
  </x:mergeCells>
  <x:conditionalFormatting sqref="G15:G30">
    <x:cfRule type="containsText" dxfId="0" priority="1" operator="containsText" text="Yes"/>
    <x:cfRule type="containsText" dxfId="1" priority="2" operator="containsText" text="Unknown"/>
  </x:conditionalFormatting>
  <x:dataValidations count="4">
    <x:dataValidation type="list" sqref="B5:H5">
      <x:formula1>"Biomedical Device,Web Application,SaaS Application,Epic / Clinical Interface,On-Prem COTS,Cloud / API,Data / Analytics,AI / ML,Infrastructure / Network"</x:formula1>
    </x:dataValidation>
    <x:dataValidation type="list" sqref="B6:H6">
      <x:formula1>"High,Moderate,Low"</x:formula1>
    </x:dataValidation>
    <x:dataValidation type="list" sqref="G15:G30">
      <x:formula1>"Yes,No,Unknown"</x:formula1>
    </x:dataValidation>
    <x:dataValidation type="list" sqref="M15:M30">
      <x:formula1>"High,Moderate,Low"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8" hidden="0" customWidth="1"/>
    <x:col min="4" max="4" width="20" hidden="0" customWidth="1"/>
    <x:col min="5" max="5" width="52" hidden="0" customWidth="1"/>
    <x:col min="6" max="6" width="44" hidden="0" customWidth="1"/>
    <x:col min="7" max="7" width="12" hidden="0" customWidth="1"/>
    <x:col min="8" max="8" width="10" hidden="0" customWidth="1"/>
    <x:col min="9" max="9" width="10" hidden="0" customWidth="1"/>
    <x:col min="10" max="10" width="14" hidden="0" customWidth="1"/>
    <x:col min="11" max="11" width="14" hidden="0" customWidth="1"/>
    <x:col min="12" max="12" width="12" hidden="0" customWidth="1"/>
    <x:col min="13" max="13" width="14" hidden="0" customWidth="1"/>
    <x:col min="14" max="14" width="10" hidden="0" customWidth="1"/>
    <x:col min="15" max="15" width="14" hidden="0" customWidth="1"/>
    <x:col min="16" max="16" width="38" hidden="0" customWidth="1"/>
    <x:col min="17" max="17" width="38" hidden="0" customWidth="1"/>
    <x:col min="18" max="18" width="38" hidden="0" customWidth="1"/>
    <x:col min="19" max="19" width="18" hidden="0" customWidth="1"/>
    <x:col min="20" max="20" width="38" hidden="0" customWidth="1"/>
    <x:col min="21" max="21" width="20" hidden="0" customWidth="1"/>
    <x:col min="22" max="22" width="18" hidden="0" customWidth="1"/>
  </x:cols>
  <x:sheetData>
    <x:row r="1" ht="34" customHeight="1">
      <x:c r="A1" s="6" t="str">
        <x:v>Adaptive Architecture Question Router</x:v>
      </x:c>
      <x:c r="B1" s="6"/>
      <x:c r="C1" s="6"/>
      <x:c r="D1" s="6"/>
      <x:c r="E1" s="6"/>
      <x:c r="F1" s="6"/>
      <x:c r="G1" s="6"/>
      <x:c r="H1" s="6"/>
      <x:c r="I1" s="6"/>
      <x:c r="J1" s="6"/>
      <x:c r="K1" s="6"/>
      <x:c r="L1" s="6"/>
      <x:c r="M1" s="6"/>
      <x:c r="N1" s="6"/>
      <x:c r="O1" s="6"/>
      <x:c r="P1" s="6"/>
      <x:c r="Q1" s="6"/>
      <x:c r="R1" s="6"/>
      <x:c r="S1" s="6"/>
      <x:c r="T1" s="6"/>
      <x:c r="U1" s="6"/>
      <x:c r="V1" s="6"/>
    </x:row>
    <x:row r="2" ht="34" customHeight="1">
      <x:c r="A2" s="12" t="str">
        <x:v>This is the complete scenario catalog—not the Risk Register. Select only questions supported by the detected architecture types and triggers; document exclusions and route only material findings to output registers.</x:v>
      </x:c>
      <x:c r="B2" s="12"/>
      <x:c r="C2" s="12"/>
      <x:c r="D2" s="12"/>
      <x:c r="E2" s="12"/>
      <x:c r="F2" s="12"/>
      <x:c r="G2" s="12"/>
      <x:c r="H2" s="12"/>
      <x:c r="I2" s="12"/>
      <x:c r="J2" s="12"/>
      <x:c r="K2" s="12"/>
      <x:c r="L2" s="12"/>
      <x:c r="M2" s="12"/>
      <x:c r="N2" s="12"/>
      <x:c r="O2" s="12"/>
      <x:c r="P2" s="12"/>
      <x:c r="Q2" s="12"/>
      <x:c r="R2" s="12"/>
      <x:c r="S2" s="12"/>
      <x:c r="T2" s="12"/>
      <x:c r="U2" s="12"/>
      <x:c r="V2" s="12"/>
    </x:row>
    <x:row r="3">
      <x:c r="A3" s="2"/>
      <x:c r="B3" s="2"/>
      <x:c r="C3" s="2"/>
      <x:c r="D3" s="2"/>
      <x:c r="E3" s="2"/>
      <x:c r="F3" s="2"/>
      <x:c r="G3" s="2"/>
      <x:c r="H3" s="2"/>
      <x:c r="I3" s="2"/>
      <x:c r="J3" s="2"/>
      <x:c r="K3" s="2"/>
      <x:c r="L3" s="2"/>
      <x:c r="M3" s="2"/>
      <x:c r="N3" s="2"/>
      <x:c r="O3" s="2"/>
      <x:c r="P3" s="2"/>
      <x:c r="Q3" s="2"/>
      <x:c r="R3" s="2"/>
      <x:c r="S3" s="2"/>
      <x:c r="T3" s="2"/>
      <x:c r="U3" s="2"/>
      <x:c r="V3" s="2"/>
    </x:row>
    <x:row r="4">
      <x:c r="A4" s="113" t="str">
        <x:v>Routing legend
R = normally required for that architecture type
C = conditional; include only when the trigger exists
— = normally exclude</x:v>
      </x:c>
      <x:c r="B4" s="114"/>
      <x:c r="C4" s="114"/>
      <x:c r="D4" s="114"/>
      <x:c r="E4" s="114"/>
      <x:c r="F4" s="115"/>
      <x:c r="G4" s="131" t="str">
        <x:v>AI decision
Selected = assess the scenario
Conditional – verify = missing classification fact must be resolved
Excluded = not relevant, with a concrete rationale</x:v>
      </x:c>
      <x:c r="H4" s="132"/>
      <x:c r="I4" s="132"/>
      <x:c r="J4" s="132"/>
      <x:c r="K4" s="132"/>
      <x:c r="L4" s="133"/>
      <x:c r="M4" s="149" t="str">
        <x:v>Disposition after assessment
No Finding | Risk Row | ADR | Exception | Pending Evidence
Missing evidence alone is not automatically a Risk Row.</x:v>
      </x:c>
      <x:c r="N4" s="150"/>
      <x:c r="O4" s="150"/>
      <x:c r="P4" s="150"/>
      <x:c r="Q4" s="150"/>
      <x:c r="R4" s="151"/>
      <x:c r="S4" s="167" t="str">
        <x:v>Proportionality check
Single-type: usually 12–25 selected scenarios
Composite: usually 18–35
More than 40 requires written justification.</x:v>
      </x:c>
      <x:c r="T4" s="168"/>
      <x:c r="U4" s="168"/>
      <x:c r="V4" s="169"/>
    </x:row>
    <x:row r="5">
      <x:c r="A5" s="116"/>
      <x:c r="B5" s="117"/>
      <x:c r="C5" s="117"/>
      <x:c r="D5" s="117"/>
      <x:c r="E5" s="117"/>
      <x:c r="F5" s="118"/>
      <x:c r="G5" s="134"/>
      <x:c r="H5" s="135"/>
      <x:c r="I5" s="135"/>
      <x:c r="J5" s="135"/>
      <x:c r="K5" s="135"/>
      <x:c r="L5" s="136"/>
      <x:c r="M5" s="152"/>
      <x:c r="N5" s="153"/>
      <x:c r="O5" s="153"/>
      <x:c r="P5" s="153"/>
      <x:c r="Q5" s="153"/>
      <x:c r="R5" s="154"/>
      <x:c r="S5" s="170"/>
      <x:c r="T5" s="171"/>
      <x:c r="U5" s="171"/>
      <x:c r="V5" s="172"/>
    </x:row>
    <x:row r="6">
      <x:c r="A6" s="2"/>
      <x:c r="B6" s="2"/>
      <x:c r="C6" s="2"/>
      <x:c r="D6" s="2"/>
      <x:c r="E6" s="2"/>
      <x:c r="F6" s="2"/>
      <x:c r="G6" s="2"/>
      <x:c r="H6" s="2"/>
      <x:c r="I6" s="2"/>
      <x:c r="J6" s="2"/>
      <x:c r="K6" s="2"/>
      <x:c r="L6" s="2"/>
      <x:c r="M6" s="2"/>
      <x:c r="N6" s="2"/>
      <x:c r="O6" s="2"/>
      <x:c r="P6" s="2"/>
      <x:c r="Q6" s="2"/>
      <x:c r="R6" s="2"/>
      <x:c r="S6" s="2"/>
      <x:c r="T6" s="2"/>
      <x:c r="U6" s="2"/>
      <x:c r="V6" s="2"/>
    </x:row>
    <x:row r="7">
      <x:c r="A7" s="93" t="str">
        <x:v>Scenario ID</x:v>
      </x:c>
      <x:c r="B7" s="93" t="str">
        <x:v>Module</x:v>
      </x:c>
      <x:c r="C7" s="93" t="str">
        <x:v>Domain</x:v>
      </x:c>
      <x:c r="D7" s="93" t="str">
        <x:v>Quality Attribute</x:v>
      </x:c>
      <x:c r="E7" s="93" t="str">
        <x:v>Architecture Scenario / Decision Test</x:v>
      </x:c>
      <x:c r="F7" s="93" t="str">
        <x:v>Credible Failure Mode / Consequence</x:v>
      </x:c>
      <x:c r="G7" s="93" t="str">
        <x:v>Biomedical</x:v>
      </x:c>
      <x:c r="H7" s="93" t="str">
        <x:v>Web</x:v>
      </x:c>
      <x:c r="I7" s="93" t="str">
        <x:v>SaaS</x:v>
      </x:c>
      <x:c r="J7" s="93" t="str">
        <x:v>Epic / Clinical</x:v>
      </x:c>
      <x:c r="K7" s="93" t="str">
        <x:v>On-Prem COTS</x:v>
      </x:c>
      <x:c r="L7" s="93" t="str">
        <x:v>Cloud / API</x:v>
      </x:c>
      <x:c r="M7" s="93" t="str">
        <x:v>Data / Analytics</x:v>
      </x:c>
      <x:c r="N7" s="93" t="str">
        <x:v>AI / ML</x:v>
      </x:c>
      <x:c r="O7" s="93" t="str">
        <x:v>Infrastructure</x:v>
      </x:c>
      <x:c r="P7" s="93" t="str">
        <x:v>Inclusion Trigger</x:v>
      </x:c>
      <x:c r="Q7" s="93" t="str">
        <x:v>Exclude When</x:v>
      </x:c>
      <x:c r="R7" s="93" t="str">
        <x:v>Expected Architecture Evidence</x:v>
      </x:c>
      <x:c r="S7" s="93" t="str">
        <x:v>AI Routing Decision</x:v>
      </x:c>
      <x:c r="T7" s="93" t="str">
        <x:v>Routing Rationale / Source</x:v>
      </x:c>
      <x:c r="U7" s="93" t="str">
        <x:v>Assessment Disposition</x:v>
      </x:c>
      <x:c r="V7" s="93" t="str">
        <x:v>Linked Output ID</x:v>
      </x:c>
    </x:row>
    <x:row r="8" ht="76" customHeight="1">
      <x:c r="A8" s="97" t="str">
        <x:v>CORE-001</x:v>
      </x:c>
      <x:c r="B8" s="97" t="str">
        <x:v>Core</x:v>
      </x:c>
      <x:c r="C8" s="97" t="str">
        <x:v>Context, Boundaries &amp; Topology</x:v>
      </x:c>
      <x:c r="D8" s="97" t="str">
        <x:v>Scope completeness</x:v>
      </x:c>
      <x:c r="E8" s="97" t="str">
        <x:v>Does the system context identify every actor, component, site, environment, external service, trust zone and ownership boundary?</x:v>
      </x:c>
      <x:c r="F8" s="97" t="str">
        <x:v>Hidden components or responsibilities create unassessed flows, unsupported dependencies or recovery gaps.</x:v>
      </x:c>
      <x:c r="G8" s="178" t="str">
        <x:v>R</x:v>
      </x:c>
      <x:c r="H8" s="178" t="str">
        <x:v>R</x:v>
      </x:c>
      <x:c r="I8" s="178" t="str">
        <x:v>R</x:v>
      </x:c>
      <x:c r="J8" s="178" t="str">
        <x:v>R</x:v>
      </x:c>
      <x:c r="K8" s="178" t="str">
        <x:v>R</x:v>
      </x:c>
      <x:c r="L8" s="178" t="str">
        <x:v>R</x:v>
      </x:c>
      <x:c r="M8" s="178" t="str">
        <x:v>R</x:v>
      </x:c>
      <x:c r="N8" s="178" t="str">
        <x:v>R</x:v>
      </x:c>
      <x:c r="O8" s="178" t="str">
        <x:v>R</x:v>
      </x:c>
      <x:c r="P8" s="97" t="str">
        <x:v>Always; tailor depth to the solution.</x:v>
      </x:c>
      <x:c r="Q8" s="97" t="str">
        <x:v>Never exclude; reduce depth only for a genuinely isolated low-complexity change.</x:v>
      </x:c>
      <x:c r="R8" s="97" t="str">
        <x:v>System context, deployment diagram, scope statement and ownership map</x:v>
      </x:c>
      <x:c r="S8" s="98" t="str"/>
      <x:c r="T8" s="98" t="str"/>
      <x:c r="U8" s="98" t="str"/>
      <x:c r="V8" s="98" t="str"/>
    </x:row>
    <x:row r="9" ht="76" customHeight="1">
      <x:c r="A9" s="72" t="str">
        <x:v>CORE-002</x:v>
      </x:c>
      <x:c r="B9" s="72" t="str">
        <x:v>Core</x:v>
      </x:c>
      <x:c r="C9" s="72" t="str">
        <x:v>Context, Boundaries &amp; Topology</x:v>
      </x:c>
      <x:c r="D9" s="72" t="str">
        <x:v>Data-flow integrity</x:v>
      </x:c>
      <x:c r="E9" s="72" t="str">
        <x:v>Are all material data flows, protocols, direction, sensitivity, persistence points and administrative paths documented?</x:v>
      </x:c>
      <x:c r="F9" s="72" t="str">
        <x:v>Unknown flows bypass controls, duplicate sensitive data or prevent effective support and incident response.</x:v>
      </x:c>
      <x:c r="G9" s="63" t="str">
        <x:v>R</x:v>
      </x:c>
      <x:c r="H9" s="63" t="str">
        <x:v>R</x:v>
      </x:c>
      <x:c r="I9" s="63" t="str">
        <x:v>R</x:v>
      </x:c>
      <x:c r="J9" s="63" t="str">
        <x:v>R</x:v>
      </x:c>
      <x:c r="K9" s="63" t="str">
        <x:v>R</x:v>
      </x:c>
      <x:c r="L9" s="63" t="str">
        <x:v>R</x:v>
      </x:c>
      <x:c r="M9" s="63" t="str">
        <x:v>R</x:v>
      </x:c>
      <x:c r="N9" s="63" t="str">
        <x:v>R</x:v>
      </x:c>
      <x:c r="O9" s="63" t="str">
        <x:v>R</x:v>
      </x:c>
      <x:c r="P9" s="72" t="str">
        <x:v>Always when data or commands cross a component boundary.</x:v>
      </x:c>
      <x:c r="Q9" s="72" t="str">
        <x:v>Exclude only when the change has no data or control-plane flow.</x:v>
      </x:c>
      <x:c r="R9" s="72" t="str">
        <x:v>Data-flow diagram, interface inventory, ports/protocols and classification</x:v>
      </x:c>
      <x:c r="S9" s="179" t="str"/>
      <x:c r="T9" s="179" t="str"/>
      <x:c r="U9" s="179" t="str"/>
      <x:c r="V9" s="179" t="str"/>
    </x:row>
    <x:row r="10" ht="76" customHeight="1">
      <x:c r="A10" s="180" t="str">
        <x:v>CORE-003</x:v>
      </x:c>
      <x:c r="B10" s="180" t="str">
        <x:v>Core</x:v>
      </x:c>
      <x:c r="C10" s="180" t="str">
        <x:v>Strategic Fit &amp; Standards</x:v>
      </x:c>
      <x:c r="D10" s="180" t="str">
        <x:v>Architecture fit</x:v>
      </x:c>
      <x:c r="E10" s="180" t="str">
        <x:v>Does the proposed pattern align with enterprise standards and target-state platforms, with deliberate deviations recorded?</x:v>
      </x:c>
      <x:c r="F10" s="180" t="str">
        <x:v>A local solution creates stranded investment, duplicated capability or an unsupported operating pattern.</x:v>
      </x:c>
      <x:c r="G10" s="63" t="str">
        <x:v>R</x:v>
      </x:c>
      <x:c r="H10" s="63" t="str">
        <x:v>R</x:v>
      </x:c>
      <x:c r="I10" s="63" t="str">
        <x:v>R</x:v>
      </x:c>
      <x:c r="J10" s="63" t="str">
        <x:v>R</x:v>
      </x:c>
      <x:c r="K10" s="63" t="str">
        <x:v>R</x:v>
      </x:c>
      <x:c r="L10" s="63" t="str">
        <x:v>R</x:v>
      </x:c>
      <x:c r="M10" s="63" t="str">
        <x:v>R</x:v>
      </x:c>
      <x:c r="N10" s="63" t="str">
        <x:v>R</x:v>
      </x:c>
      <x:c r="O10" s="63" t="str">
        <x:v>R</x:v>
      </x:c>
      <x:c r="P10" s="180" t="str">
        <x:v>Always; focus on material platform and pattern choices.</x:v>
      </x:c>
      <x:c r="Q10" s="180" t="str">
        <x:v>Do not create a risk merely because a standard is undocumented; confirm a real deviation or decision.</x:v>
      </x:c>
      <x:c r="R10" s="180" t="str">
        <x:v>Standards assessment, reference architecture and ADRs</x:v>
      </x:c>
      <x:c r="S10" s="179" t="str"/>
      <x:c r="T10" s="179" t="str"/>
      <x:c r="U10" s="179" t="str"/>
      <x:c r="V10" s="179" t="str"/>
    </x:row>
    <x:row r="11" ht="76" customHeight="1">
      <x:c r="A11" s="72" t="str">
        <x:v>CORE-004</x:v>
      </x:c>
      <x:c r="B11" s="72" t="str">
        <x:v>Core</x:v>
      </x:c>
      <x:c r="C11" s="72" t="str">
        <x:v>Business &amp; Clinical Criticality</x:v>
      </x:c>
      <x:c r="D11" s="72" t="str">
        <x:v>Service tolerance</x:v>
      </x:c>
      <x:c r="E11" s="72" t="str">
        <x:v>Are business/clinical dependency, maximum tolerable outage, peak periods, data-loss tolerance and safety impact defined?</x:v>
      </x:c>
      <x:c r="F11" s="72" t="str">
        <x:v>The design is accepted without objectives that determine resilience, support and validation requirements.</x:v>
      </x:c>
      <x:c r="G11" s="63" t="str">
        <x:v>R</x:v>
      </x:c>
      <x:c r="H11" s="63" t="str">
        <x:v>R</x:v>
      </x:c>
      <x:c r="I11" s="63" t="str">
        <x:v>R</x:v>
      </x:c>
      <x:c r="J11" s="63" t="str">
        <x:v>R</x:v>
      </x:c>
      <x:c r="K11" s="63" t="str">
        <x:v>R</x:v>
      </x:c>
      <x:c r="L11" s="63" t="str">
        <x:v>R</x:v>
      </x:c>
      <x:c r="M11" s="63" t="str">
        <x:v>R</x:v>
      </x:c>
      <x:c r="N11" s="63" t="str">
        <x:v>R</x:v>
      </x:c>
      <x:c r="O11" s="63" t="str">
        <x:v>R</x:v>
      </x:c>
      <x:c r="P11" s="72" t="str">
        <x:v>Always; clinical depth only where care or patient information is affected.</x:v>
      </x:c>
      <x:c r="Q11" s="72" t="str">
        <x:v>Exclude clinical-safety detail for non-clinical services, but retain business criticality.</x:v>
      </x:c>
      <x:c r="R11" s="72" t="str">
        <x:v>Business impact assessment, workflow map, RPO/RTO and safety classification</x:v>
      </x:c>
      <x:c r="S11" s="179" t="str"/>
      <x:c r="T11" s="179" t="str"/>
      <x:c r="U11" s="179" t="str"/>
      <x:c r="V11" s="179" t="str"/>
    </x:row>
    <x:row r="12" ht="76" customHeight="1">
      <x:c r="A12" s="180" t="str">
        <x:v>CORE-005</x:v>
      </x:c>
      <x:c r="B12" s="180" t="str">
        <x:v>Core</x:v>
      </x:c>
      <x:c r="C12" s="180" t="str">
        <x:v>Availability &amp; Fault Containment</x:v>
      </x:c>
      <x:c r="D12" s="180" t="str">
        <x:v>Dependency chain</x:v>
      </x:c>
      <x:c r="E12" s="180" t="str">
        <x:v>Are critical dependencies, single points of failure, failure domains and safe-degradation behavior understood end to end?</x:v>
      </x:c>
      <x:c r="F12" s="180" t="str">
        <x:v>A component failure propagates across the service or recovery restores infrastructure without restoring the workflow.</x:v>
      </x:c>
      <x:c r="G12" s="63" t="str">
        <x:v>R</x:v>
      </x:c>
      <x:c r="H12" s="63" t="str">
        <x:v>R</x:v>
      </x:c>
      <x:c r="I12" s="63" t="str">
        <x:v>R</x:v>
      </x:c>
      <x:c r="J12" s="63" t="str">
        <x:v>R</x:v>
      </x:c>
      <x:c r="K12" s="63" t="str">
        <x:v>R</x:v>
      </x:c>
      <x:c r="L12" s="63" t="str">
        <x:v>R</x:v>
      </x:c>
      <x:c r="M12" s="63" t="str">
        <x:v>R</x:v>
      </x:c>
      <x:c r="N12" s="63" t="str">
        <x:v>R</x:v>
      </x:c>
      <x:c r="O12" s="63" t="str">
        <x:v>R</x:v>
      </x:c>
      <x:c r="P12" s="180" t="str">
        <x:v>Select when outage or degraded behavior has material impact.</x:v>
      </x:c>
      <x:c r="Q12" s="180" t="str">
        <x:v>Exclude detailed resilience analysis for a disposable/noncritical tool with documented tolerance.</x:v>
      </x:c>
      <x:c r="R12" s="180" t="str">
        <x:v>Dependency graph, failure-mode analysis, recovery design and downtime workflow</x:v>
      </x:c>
      <x:c r="S12" s="179" t="str"/>
      <x:c r="T12" s="179" t="str"/>
      <x:c r="U12" s="179" t="str"/>
      <x:c r="V12" s="179" t="str"/>
    </x:row>
    <x:row r="13" ht="76" customHeight="1">
      <x:c r="A13" s="72" t="str">
        <x:v>CORE-006</x:v>
      </x:c>
      <x:c r="B13" s="72" t="str">
        <x:v>Core</x:v>
      </x:c>
      <x:c r="C13" s="72" t="str">
        <x:v>Operability &amp; Observability</x:v>
      </x:c>
      <x:c r="D13" s="72" t="str">
        <x:v>Operating model</x:v>
      </x:c>
      <x:c r="E13" s="72" t="str">
        <x:v>Is end-to-end ownership explicit for monitoring, incidents, changes, certificates, interfaces, data and vendor escalation?</x:v>
      </x:c>
      <x:c r="F13" s="72" t="str">
        <x:v>Incidents stall at handoffs, alerts remain unowned and recurring failures are not corrected.</x:v>
      </x:c>
      <x:c r="G13" s="63" t="str">
        <x:v>R</x:v>
      </x:c>
      <x:c r="H13" s="63" t="str">
        <x:v>R</x:v>
      </x:c>
      <x:c r="I13" s="63" t="str">
        <x:v>R</x:v>
      </x:c>
      <x:c r="J13" s="63" t="str">
        <x:v>R</x:v>
      </x:c>
      <x:c r="K13" s="63" t="str">
        <x:v>R</x:v>
      </x:c>
      <x:c r="L13" s="63" t="str">
        <x:v>R</x:v>
      </x:c>
      <x:c r="M13" s="63" t="str">
        <x:v>R</x:v>
      </x:c>
      <x:c r="N13" s="63" t="str">
        <x:v>R</x:v>
      </x:c>
      <x:c r="O13" s="63" t="str">
        <x:v>R</x:v>
      </x:c>
      <x:c r="P13" s="72" t="str">
        <x:v>Always for production services.</x:v>
      </x:c>
      <x:c r="Q13" s="72" t="str">
        <x:v>Exclude only for a non-production experiment with a defined end date and no sensitive data.</x:v>
      </x:c>
      <x:c r="R13" s="72" t="str">
        <x:v>RACI, support model, runbooks, alert routing and escalation matrix</x:v>
      </x:c>
      <x:c r="S13" s="179" t="str"/>
      <x:c r="T13" s="179" t="str"/>
      <x:c r="U13" s="179" t="str"/>
      <x:c r="V13" s="179" t="str"/>
    </x:row>
    <x:row r="14" ht="76" customHeight="1">
      <x:c r="A14" s="180" t="str">
        <x:v>CORE-007</x:v>
      </x:c>
      <x:c r="B14" s="180" t="str">
        <x:v>Core</x:v>
      </x:c>
      <x:c r="C14" s="180" t="str">
        <x:v>Changeability &amp; Release Safety</x:v>
      </x:c>
      <x:c r="D14" s="180" t="str">
        <x:v>Controlled change</x:v>
      </x:c>
      <x:c r="E14" s="180" t="str">
        <x:v>Can configuration, software, infrastructure and interface changes be tested, deployed, validated and rolled back safely?</x:v>
      </x:c>
      <x:c r="F14" s="180" t="str">
        <x:v>A change produces incompatible state, extended outage or silent workflow/data defects.</x:v>
      </x:c>
      <x:c r="G14" s="63" t="str">
        <x:v>R</x:v>
      </x:c>
      <x:c r="H14" s="63" t="str">
        <x:v>R</x:v>
      </x:c>
      <x:c r="I14" s="63" t="str">
        <x:v>R</x:v>
      </x:c>
      <x:c r="J14" s="63" t="str">
        <x:v>R</x:v>
      </x:c>
      <x:c r="K14" s="63" t="str">
        <x:v>R</x:v>
      </x:c>
      <x:c r="L14" s="63" t="str">
        <x:v>R</x:v>
      </x:c>
      <x:c r="M14" s="63" t="str">
        <x:v>R</x:v>
      </x:c>
      <x:c r="N14" s="63" t="str">
        <x:v>R</x:v>
      </x:c>
      <x:c r="O14" s="63" t="str">
        <x:v>R</x:v>
      </x:c>
      <x:c r="P14" s="180" t="str">
        <x:v>Select when the solution has mutable code, configuration, firmware, interfaces or infrastructure.</x:v>
      </x:c>
      <x:c r="Q14" s="180" t="str">
        <x:v>Exclude only when no changeable production component is introduced.</x:v>
      </x:c>
      <x:c r="R14" s="180" t="str">
        <x:v>Release process, test strategy, rollback evidence and environment comparison</x:v>
      </x:c>
      <x:c r="S14" s="179" t="str"/>
      <x:c r="T14" s="179" t="str"/>
      <x:c r="U14" s="179" t="str"/>
      <x:c r="V14" s="179" t="str"/>
    </x:row>
    <x:row r="15" ht="76" customHeight="1">
      <x:c r="A15" s="72" t="str">
        <x:v>CORE-008</x:v>
      </x:c>
      <x:c r="B15" s="72" t="str">
        <x:v>Core</x:v>
      </x:c>
      <x:c r="C15" s="72" t="str">
        <x:v>Architecture Assurance &amp; Governance</x:v>
      </x:c>
      <x:c r="D15" s="72" t="str">
        <x:v>Acceptance evidence</x:v>
      </x:c>
      <x:c r="E15" s="72" t="str">
        <x:v>Are architecture decisions, selected scenarios, assumptions, exceptions and non-functional acceptance criteria traceable and approved?</x:v>
      </x:c>
      <x:c r="F15" s="72" t="str">
        <x:v>The solution progresses with unresolved decisions, unowned assumptions or no measurable closure evidence.</x:v>
      </x:c>
      <x:c r="G15" s="63" t="str">
        <x:v>R</x:v>
      </x:c>
      <x:c r="H15" s="63" t="str">
        <x:v>R</x:v>
      </x:c>
      <x:c r="I15" s="63" t="str">
        <x:v>R</x:v>
      </x:c>
      <x:c r="J15" s="63" t="str">
        <x:v>R</x:v>
      </x:c>
      <x:c r="K15" s="63" t="str">
        <x:v>R</x:v>
      </x:c>
      <x:c r="L15" s="63" t="str">
        <x:v>R</x:v>
      </x:c>
      <x:c r="M15" s="63" t="str">
        <x:v>R</x:v>
      </x:c>
      <x:c r="N15" s="63" t="str">
        <x:v>R</x:v>
      </x:c>
      <x:c r="O15" s="63" t="str">
        <x:v>R</x:v>
      </x:c>
      <x:c r="P15" s="72" t="str">
        <x:v>Always before final architecture approval.</x:v>
      </x:c>
      <x:c r="Q15" s="72" t="str">
        <x:v>Never exclude from a formal assessment.</x:v>
      </x:c>
      <x:c r="R15" s="72" t="str">
        <x:v>ADRs, risk links, exception approvals and acceptance plan</x:v>
      </x:c>
      <x:c r="S15" s="179" t="str"/>
      <x:c r="T15" s="179" t="str"/>
      <x:c r="U15" s="179" t="str"/>
      <x:c r="V15" s="179" t="str"/>
    </x:row>
    <x:row r="16" ht="76" customHeight="1">
      <x:c r="A16" s="180" t="str">
        <x:v>BIO-001</x:v>
      </x:c>
      <x:c r="B16" s="180" t="str">
        <x:v>Biomedical Device</x:v>
      </x:c>
      <x:c r="C16" s="180" t="str">
        <x:v>Clinical Safety &amp; Human Factors</x:v>
      </x:c>
      <x:c r="D16" s="180" t="str">
        <x:v>Intended use</x:v>
      </x:c>
      <x:c r="E16" s="180" t="str">
        <x:v>Is the device's intended use, clinical workflow, safety classification and boundary between clinical function and IT integration explicit?</x:v>
      </x:c>
      <x:c r="F16" s="180" t="str">
        <x:v>IT changes or unsupported use alter clinical behavior without appropriate safety review.</x:v>
      </x:c>
      <x:c r="G16" s="63" t="str">
        <x:v>R</x:v>
      </x:c>
      <x:c r="H16" s="63" t="str">
        <x:v>—</x:v>
      </x:c>
      <x:c r="I16" s="63" t="str">
        <x:v>—</x:v>
      </x:c>
      <x:c r="J16" s="63" t="str">
        <x:v>C</x:v>
      </x:c>
      <x:c r="K16" s="63" t="str">
        <x:v>—</x:v>
      </x:c>
      <x:c r="L16" s="63" t="str">
        <x:v>—</x:v>
      </x:c>
      <x:c r="M16" s="63" t="str">
        <x:v>—</x:v>
      </x:c>
      <x:c r="N16" s="63" t="str">
        <x:v>—</x:v>
      </x:c>
      <x:c r="O16" s="63" t="str">
        <x:v>—</x:v>
      </x:c>
      <x:c r="P16" s="180" t="str">
        <x:v>Physical or software medical device used in diagnosis, treatment, monitoring or acquisition.</x:v>
      </x:c>
      <x:c r="Q16" s="180" t="str">
        <x:v>No regulated/clinical device or device-controlled workflow is present.</x:v>
      </x:c>
      <x:c r="R16" s="180" t="str">
        <x:v>Intended-use statement, device classification, clinical workflow and safety file</x:v>
      </x:c>
      <x:c r="S16" s="179" t="str"/>
      <x:c r="T16" s="179" t="str"/>
      <x:c r="U16" s="179" t="str"/>
      <x:c r="V16" s="179" t="str"/>
    </x:row>
    <x:row r="17" ht="76" customHeight="1">
      <x:c r="A17" s="72" t="str">
        <x:v>BIO-002</x:v>
      </x:c>
      <x:c r="B17" s="72" t="str">
        <x:v>Biomedical Device</x:v>
      </x:c>
      <x:c r="C17" s="72" t="str">
        <x:v>Device Connectivity</x:v>
      </x:c>
      <x:c r="D17" s="72" t="str">
        <x:v>Supported connectivity</x:v>
      </x:c>
      <x:c r="E17" s="72" t="str">
        <x:v>Are supported wired/wireless methods, addressing, network authentication, ports and proximity/latency constraints documented?</x:v>
      </x:c>
      <x:c r="F17" s="72" t="str">
        <x:v>Unsupported connectivity causes intermittent operation, insecure placement or loss of clinical data.</x:v>
      </x:c>
      <x:c r="G17" s="63" t="str">
        <x:v>R</x:v>
      </x:c>
      <x:c r="H17" s="63" t="str">
        <x:v>—</x:v>
      </x:c>
      <x:c r="I17" s="63" t="str">
        <x:v>—</x:v>
      </x:c>
      <x:c r="J17" s="63" t="str">
        <x:v>—</x:v>
      </x:c>
      <x:c r="K17" s="63" t="str">
        <x:v>—</x:v>
      </x:c>
      <x:c r="L17" s="63" t="str">
        <x:v>—</x:v>
      </x:c>
      <x:c r="M17" s="63" t="str">
        <x:v>—</x:v>
      </x:c>
      <x:c r="N17" s="63" t="str">
        <x:v>—</x:v>
      </x:c>
      <x:c r="O17" s="63" t="str">
        <x:v>C</x:v>
      </x:c>
      <x:c r="P17" s="72" t="str">
        <x:v>Device connects to enterprise network, gateway, workstation or interface engine.</x:v>
      </x:c>
      <x:c r="Q17" s="72" t="str">
        <x:v>Standalone device with no digital connectivity or data exchange.</x:v>
      </x:c>
      <x:c r="R17" s="72" t="str">
        <x:v>Vendor network guide, ports/protocols, validated topology and latency constraints</x:v>
      </x:c>
      <x:c r="S17" s="179" t="str"/>
      <x:c r="T17" s="179" t="str"/>
      <x:c r="U17" s="179" t="str"/>
      <x:c r="V17" s="179" t="str"/>
    </x:row>
    <x:row r="18" ht="76" customHeight="1">
      <x:c r="A18" s="180" t="str">
        <x:v>BIO-003</x:v>
      </x:c>
      <x:c r="B18" s="180" t="str">
        <x:v>Biomedical Device</x:v>
      </x:c>
      <x:c r="C18" s="180" t="str">
        <x:v>Clinical Safety &amp; Human Factors</x:v>
      </x:c>
      <x:c r="D18" s="180" t="str">
        <x:v>Safe degradation</x:v>
      </x:c>
      <x:c r="E18" s="180" t="str">
        <x:v>When the device, gateway, network or downstream system is unavailable, is there a safe clinical downtime and reconciliation workflow?</x:v>
      </x:c>
      <x:c r="F18" s="180" t="str">
        <x:v>Care is delayed, measurements are lost, or staff create duplicate/incomplete documentation.</x:v>
      </x:c>
      <x:c r="G18" s="63" t="str">
        <x:v>R</x:v>
      </x:c>
      <x:c r="H18" s="63" t="str">
        <x:v>—</x:v>
      </x:c>
      <x:c r="I18" s="63" t="str">
        <x:v>—</x:v>
      </x:c>
      <x:c r="J18" s="63" t="str">
        <x:v>C</x:v>
      </x:c>
      <x:c r="K18" s="63" t="str">
        <x:v>—</x:v>
      </x:c>
      <x:c r="L18" s="63" t="str">
        <x:v>—</x:v>
      </x:c>
      <x:c r="M18" s="63" t="str">
        <x:v>—</x:v>
      </x:c>
      <x:c r="N18" s="63" t="str">
        <x:v>—</x:v>
      </x:c>
      <x:c r="O18" s="63" t="str">
        <x:v>—</x:v>
      </x:c>
      <x:c r="P18" s="180" t="str">
        <x:v>Device output affects care, documentation, orders or results.</x:v>
      </x:c>
      <x:c r="Q18" s="180" t="str">
        <x:v>Non-clinical equipment with no patient/workflow impact.</x:v>
      </x:c>
      <x:c r="R18" s="180" t="str">
        <x:v>Downtime procedure, simulation evidence and reconciliation steps</x:v>
      </x:c>
      <x:c r="S18" s="179" t="str"/>
      <x:c r="T18" s="179" t="str"/>
      <x:c r="U18" s="179" t="str"/>
      <x:c r="V18" s="179" t="str"/>
    </x:row>
    <x:row r="19" ht="76" customHeight="1">
      <x:c r="A19" s="72" t="str">
        <x:v>BIO-004</x:v>
      </x:c>
      <x:c r="B19" s="72" t="str">
        <x:v>Biomedical Device</x:v>
      </x:c>
      <x:c r="C19" s="72" t="str">
        <x:v>Clinical Data Integrity</x:v>
      </x:c>
      <x:c r="D19" s="72" t="str">
        <x:v>Association integrity</x:v>
      </x:c>
      <x:c r="E19" s="72" t="str">
        <x:v>How are the correct patient, encounter, order, device and result associated and verified across the workflow?</x:v>
      </x:c>
      <x:c r="F19" s="72" t="str">
        <x:v>Measurements or reports are attributed to the wrong patient or order.</x:v>
      </x:c>
      <x:c r="G19" s="63" t="str">
        <x:v>R</x:v>
      </x:c>
      <x:c r="H19" s="63" t="str">
        <x:v>—</x:v>
      </x:c>
      <x:c r="I19" s="63" t="str">
        <x:v>—</x:v>
      </x:c>
      <x:c r="J19" s="63" t="str">
        <x:v>C</x:v>
      </x:c>
      <x:c r="K19" s="63" t="str">
        <x:v>—</x:v>
      </x:c>
      <x:c r="L19" s="63" t="str">
        <x:v>—</x:v>
      </x:c>
      <x:c r="M19" s="63" t="str">
        <x:v>—</x:v>
      </x:c>
      <x:c r="N19" s="63" t="str">
        <x:v>—</x:v>
      </x:c>
      <x:c r="O19" s="63" t="str">
        <x:v>—</x:v>
      </x:c>
      <x:c r="P19" s="72" t="str">
        <x:v>Device produces patient-linked observations, images, measurements or reports.</x:v>
      </x:c>
      <x:c r="Q19" s="72" t="str">
        <x:v>Device produces no patient-identifiable or clinical output.</x:v>
      </x:c>
      <x:c r="R19" s="72" t="str">
        <x:v>Positive/negative patient matching tests, barcode/worklist design and exception handling</x:v>
      </x:c>
      <x:c r="S19" s="179" t="str"/>
      <x:c r="T19" s="179" t="str"/>
      <x:c r="U19" s="179" t="str"/>
      <x:c r="V19" s="179" t="str"/>
    </x:row>
    <x:row r="20" ht="76" customHeight="1">
      <x:c r="A20" s="180" t="str">
        <x:v>BIO-005</x:v>
      </x:c>
      <x:c r="B20" s="180" t="str">
        <x:v>Biomedical Device</x:v>
      </x:c>
      <x:c r="C20" s="180" t="str">
        <x:v>Platform Engineering &amp; Lifecycle</x:v>
      </x:c>
      <x:c r="D20" s="180" t="str">
        <x:v>Firmware lifecycle</x:v>
      </x:c>
      <x:c r="E20" s="180" t="str">
        <x:v>Are device firmware, embedded OS, workstation software and gateway dependencies inventoried with supported versions and coordinated update rules?</x:v>
      </x:c>
      <x:c r="F20" s="180" t="str">
        <x:v>A cybersecurity update breaks clinical compatibility or an unsupported component remains in service.</x:v>
      </x:c>
      <x:c r="G20" s="63" t="str">
        <x:v>R</x:v>
      </x:c>
      <x:c r="H20" s="63" t="str">
        <x:v>—</x:v>
      </x:c>
      <x:c r="I20" s="63" t="str">
        <x:v>—</x:v>
      </x:c>
      <x:c r="J20" s="63" t="str">
        <x:v>—</x:v>
      </x:c>
      <x:c r="K20" s="63" t="str">
        <x:v>C</x:v>
      </x:c>
      <x:c r="L20" s="63" t="str">
        <x:v>—</x:v>
      </x:c>
      <x:c r="M20" s="63" t="str">
        <x:v>—</x:v>
      </x:c>
      <x:c r="N20" s="63" t="str">
        <x:v>—</x:v>
      </x:c>
      <x:c r="O20" s="63" t="str">
        <x:v>—</x:v>
      </x:c>
      <x:c r="P20" s="180" t="str">
        <x:v>Device includes upgradeable firmware/software or relies on a gateway/workstation.</x:v>
      </x:c>
      <x:c r="Q20" s="180" t="str">
        <x:v>No updateable digital component is introduced.</x:v>
      </x:c>
      <x:c r="R20" s="180" t="str">
        <x:v>Version inventory, support matrix, patch policy and regression plan</x:v>
      </x:c>
      <x:c r="S20" s="179" t="str"/>
      <x:c r="T20" s="179" t="str"/>
      <x:c r="U20" s="179" t="str"/>
      <x:c r="V20" s="179" t="str"/>
    </x:row>
    <x:row r="21" ht="76" customHeight="1">
      <x:c r="A21" s="72" t="str">
        <x:v>BIO-006</x:v>
      </x:c>
      <x:c r="B21" s="72" t="str">
        <x:v>Biomedical Device</x:v>
      </x:c>
      <x:c r="C21" s="72" t="str">
        <x:v>Clinical Engineering</x:v>
      </x:c>
      <x:c r="D21" s="72" t="str">
        <x:v>Physical operations</x:v>
      </x:c>
      <x:c r="E21" s="72" t="str">
        <x:v>Are installation, power, environmental, mobility, calibration, cleaning, preventive maintenance and break/fix responsibilities defined?</x:v>
      </x:c>
      <x:c r="F21" s="72" t="str">
        <x:v>Physical or maintenance conditions degrade accuracy, availability or safe use.</x:v>
      </x:c>
      <x:c r="G21" s="63" t="str">
        <x:v>R</x:v>
      </x:c>
      <x:c r="H21" s="63" t="str">
        <x:v>—</x:v>
      </x:c>
      <x:c r="I21" s="63" t="str">
        <x:v>—</x:v>
      </x:c>
      <x:c r="J21" s="63" t="str">
        <x:v>—</x:v>
      </x:c>
      <x:c r="K21" s="63" t="str">
        <x:v>—</x:v>
      </x:c>
      <x:c r="L21" s="63" t="str">
        <x:v>—</x:v>
      </x:c>
      <x:c r="M21" s="63" t="str">
        <x:v>—</x:v>
      </x:c>
      <x:c r="N21" s="63" t="str">
        <x:v>—</x:v>
      </x:c>
      <x:c r="O21" s="63" t="str">
        <x:v>—</x:v>
      </x:c>
      <x:c r="P21" s="72" t="str">
        <x:v>Physical device deployed in a clinical or operational environment.</x:v>
      </x:c>
      <x:c r="Q21" s="72" t="str">
        <x:v>Software-only medical functionality with no managed physical hardware.</x:v>
      </x:c>
      <x:c r="R21" s="72" t="str">
        <x:v>Biomed acceptance, PM/calibration plan, environmental requirements and service model</x:v>
      </x:c>
      <x:c r="S21" s="179" t="str"/>
      <x:c r="T21" s="179" t="str"/>
      <x:c r="U21" s="179" t="str"/>
      <x:c r="V21" s="179" t="str"/>
    </x:row>
    <x:row r="22" ht="76" customHeight="1">
      <x:c r="A22" s="180" t="str">
        <x:v>BIO-007</x:v>
      </x:c>
      <x:c r="B22" s="180" t="str">
        <x:v>Biomedical Device</x:v>
      </x:c>
      <x:c r="C22" s="180" t="str">
        <x:v>Integration &amp; Workflow Integrity</x:v>
      </x:c>
      <x:c r="D22" s="180" t="str">
        <x:v>Store-and-forward</x:v>
      </x:c>
      <x:c r="E22" s="180" t="str">
        <x:v>Does the device safely buffer, retry, reconcile and visibly report unsent or rejected data during connectivity loss?</x:v>
      </x:c>
      <x:c r="F22" s="180" t="str">
        <x:v>Operators believe transmission succeeded while clinical data is missing or duplicated.</x:v>
      </x:c>
      <x:c r="G22" s="63" t="str">
        <x:v>R</x:v>
      </x:c>
      <x:c r="H22" s="63" t="str">
        <x:v>—</x:v>
      </x:c>
      <x:c r="I22" s="63" t="str">
        <x:v>—</x:v>
      </x:c>
      <x:c r="J22" s="63" t="str">
        <x:v>C</x:v>
      </x:c>
      <x:c r="K22" s="63" t="str">
        <x:v>—</x:v>
      </x:c>
      <x:c r="L22" s="63" t="str">
        <x:v>—</x:v>
      </x:c>
      <x:c r="M22" s="63" t="str">
        <x:v>—</x:v>
      </x:c>
      <x:c r="N22" s="63" t="str">
        <x:v>—</x:v>
      </x:c>
      <x:c r="O22" s="63" t="str">
        <x:v>—</x:v>
      </x:c>
      <x:c r="P22" s="180" t="str">
        <x:v>Device or gateway transmits observations, images, orders or results asynchronously.</x:v>
      </x:c>
      <x:c r="Q22" s="180" t="str">
        <x:v>No persistent/transmitted device data.</x:v>
      </x:c>
      <x:c r="R22" s="180" t="str">
        <x:v>Queue behavior, retry rules, status indicators and outage test</x:v>
      </x:c>
      <x:c r="S22" s="179" t="str"/>
      <x:c r="T22" s="179" t="str"/>
      <x:c r="U22" s="179" t="str"/>
      <x:c r="V22" s="179" t="str"/>
    </x:row>
    <x:row r="23" ht="76" customHeight="1">
      <x:c r="A23" s="72" t="str">
        <x:v>BIO-008</x:v>
      </x:c>
      <x:c r="B23" s="72" t="str">
        <x:v>Biomedical Device</x:v>
      </x:c>
      <x:c r="C23" s="72" t="str">
        <x:v>Clinical Safety &amp; Human Factors</x:v>
      </x:c>
      <x:c r="D23" s="72" t="str">
        <x:v>Quality control</x:v>
      </x:c>
      <x:c r="E23" s="72" t="str">
        <x:v>Are calibration, measurement-quality checks, reference ranges and out-of-range/error behavior integrated into the workflow?</x:v>
      </x:c>
      <x:c r="F23" s="72" t="str">
        <x:v>A technically transmitted result is clinically unreliable or misleading.</x:v>
      </x:c>
      <x:c r="G23" s="63" t="str">
        <x:v>R</x:v>
      </x:c>
      <x:c r="H23" s="63" t="str">
        <x:v>—</x:v>
      </x:c>
      <x:c r="I23" s="63" t="str">
        <x:v>—</x:v>
      </x:c>
      <x:c r="J23" s="63" t="str">
        <x:v>—</x:v>
      </x:c>
      <x:c r="K23" s="63" t="str">
        <x:v>—</x:v>
      </x:c>
      <x:c r="L23" s="63" t="str">
        <x:v>—</x:v>
      </x:c>
      <x:c r="M23" s="63" t="str">
        <x:v>—</x:v>
      </x:c>
      <x:c r="N23" s="63" t="str">
        <x:v>—</x:v>
      </x:c>
      <x:c r="O23" s="63" t="str">
        <x:v>—</x:v>
      </x:c>
      <x:c r="P23" s="72" t="str">
        <x:v>Device measures or calculates clinical values.</x:v>
      </x:c>
      <x:c r="Q23" s="72" t="str">
        <x:v>Device is administrative/support equipment without measurement output.</x:v>
      </x:c>
      <x:c r="R23" s="72" t="str">
        <x:v>Calibration records, QC procedure, validation data and error-state tests</x:v>
      </x:c>
      <x:c r="S23" s="179" t="str"/>
      <x:c r="T23" s="179" t="str"/>
      <x:c r="U23" s="179" t="str"/>
      <x:c r="V23" s="179" t="str"/>
    </x:row>
    <x:row r="24" ht="76" customHeight="1">
      <x:c r="A24" s="180" t="str">
        <x:v>BIO-009</x:v>
      </x:c>
      <x:c r="B24" s="180" t="str">
        <x:v>Biomedical Device</x:v>
      </x:c>
      <x:c r="C24" s="180" t="str">
        <x:v>Security Architecture</x:v>
      </x:c>
      <x:c r="D24" s="180" t="str">
        <x:v>Device isolation</x:v>
      </x:c>
      <x:c r="E24" s="180" t="str">
        <x:v>Does segmentation constrain device and gateway exposure while preserving required service, management and emergency workflows?</x:v>
      </x:c>
      <x:c r="F24" s="180" t="str">
        <x:v>A constrained or legacy device expands lateral movement or loses availability through over-restrictive controls.</x:v>
      </x:c>
      <x:c r="G24" s="63" t="str">
        <x:v>R</x:v>
      </x:c>
      <x:c r="H24" s="63" t="str">
        <x:v>—</x:v>
      </x:c>
      <x:c r="I24" s="63" t="str">
        <x:v>—</x:v>
      </x:c>
      <x:c r="J24" s="63" t="str">
        <x:v>—</x:v>
      </x:c>
      <x:c r="K24" s="63" t="str">
        <x:v>—</x:v>
      </x:c>
      <x:c r="L24" s="63" t="str">
        <x:v>—</x:v>
      </x:c>
      <x:c r="M24" s="63" t="str">
        <x:v>—</x:v>
      </x:c>
      <x:c r="N24" s="63" t="str">
        <x:v>—</x:v>
      </x:c>
      <x:c r="O24" s="63" t="str">
        <x:v>C</x:v>
      </x:c>
      <x:c r="P24" s="180" t="str">
        <x:v>Connected device has limited security controls or requires broad/same-subnet access.</x:v>
      </x:c>
      <x:c r="Q24" s="180" t="str">
        <x:v>Device is not network connected.</x:v>
      </x:c>
      <x:c r="R24" s="180" t="str">
        <x:v>Zone design, firewall matrix, exception decision and connectivity tests</x:v>
      </x:c>
      <x:c r="S24" s="179" t="str"/>
      <x:c r="T24" s="179" t="str"/>
      <x:c r="U24" s="179" t="str"/>
      <x:c r="V24" s="179" t="str"/>
    </x:row>
    <x:row r="25" ht="76" customHeight="1">
      <x:c r="A25" s="72" t="str">
        <x:v>BIO-010</x:v>
      </x:c>
      <x:c r="B25" s="72" t="str">
        <x:v>Biomedical Device</x:v>
      </x:c>
      <x:c r="C25" s="72" t="str">
        <x:v>Architecture Assurance &amp; Governance</x:v>
      </x:c>
      <x:c r="D25" s="72" t="str">
        <x:v>Coordinated risk</x:v>
      </x:c>
      <x:c r="E25" s="72" t="str">
        <x:v>Are cybersecurity, clinical safety, vendor service and biomedical change decisions reviewed together?</x:v>
      </x:c>
      <x:c r="F25" s="72" t="str">
        <x:v>A security mitigation introduces a clinical hazard or a clinical workaround creates unmanaged cyber exposure.</x:v>
      </x:c>
      <x:c r="G25" s="63" t="str">
        <x:v>R</x:v>
      </x:c>
      <x:c r="H25" s="63" t="str">
        <x:v>—</x:v>
      </x:c>
      <x:c r="I25" s="63" t="str">
        <x:v>—</x:v>
      </x:c>
      <x:c r="J25" s="63" t="str">
        <x:v>—</x:v>
      </x:c>
      <x:c r="K25" s="63" t="str">
        <x:v>—</x:v>
      </x:c>
      <x:c r="L25" s="63" t="str">
        <x:v>—</x:v>
      </x:c>
      <x:c r="M25" s="63" t="str">
        <x:v>—</x:v>
      </x:c>
      <x:c r="N25" s="63" t="str">
        <x:v>—</x:v>
      </x:c>
      <x:c r="O25" s="63" t="str">
        <x:v>—</x:v>
      </x:c>
      <x:c r="P25" s="72" t="str">
        <x:v>Clinical device change has material cyber, safety or workflow implications.</x:v>
      </x:c>
      <x:c r="Q25" s="72" t="str">
        <x:v>No clinical safety impact and no device-specific constraints.</x:v>
      </x:c>
      <x:c r="R25" s="72" t="str">
        <x:v>Joint risk review, hazard analysis, change approval and acceptance authority</x:v>
      </x:c>
      <x:c r="S25" s="179" t="str"/>
      <x:c r="T25" s="179" t="str"/>
      <x:c r="U25" s="179" t="str"/>
      <x:c r="V25" s="179" t="str"/>
    </x:row>
    <x:row r="26" ht="76" customHeight="1">
      <x:c r="A26" s="180" t="str">
        <x:v>WEB-001</x:v>
      </x:c>
      <x:c r="B26" s="180" t="str">
        <x:v>Web Application</x:v>
      </x:c>
      <x:c r="C26" s="180" t="str">
        <x:v>Experience Architecture</x:v>
      </x:c>
      <x:c r="D26" s="180" t="str">
        <x:v>Client compatibility</x:v>
      </x:c>
      <x:c r="E26" s="180" t="str">
        <x:v>Are supported browsers, mobile clients, rendering dependencies and upgrade/deprecation policies defined?</x:v>
      </x:c>
      <x:c r="F26" s="180" t="str">
        <x:v>Users lose critical functionality after client or browser change.</x:v>
      </x:c>
      <x:c r="G26" s="63" t="str">
        <x:v>—</x:v>
      </x:c>
      <x:c r="H26" s="63" t="str">
        <x:v>R</x:v>
      </x:c>
      <x:c r="I26" s="63" t="str">
        <x:v>C</x:v>
      </x:c>
      <x:c r="J26" s="63" t="str">
        <x:v>—</x:v>
      </x:c>
      <x:c r="K26" s="63" t="str">
        <x:v>—</x:v>
      </x:c>
      <x:c r="L26" s="63" t="str">
        <x:v>—</x:v>
      </x:c>
      <x:c r="M26" s="63" t="str">
        <x:v>—</x:v>
      </x:c>
      <x:c r="N26" s="63" t="str">
        <x:v>—</x:v>
      </x:c>
      <x:c r="O26" s="63" t="str">
        <x:v>—</x:v>
      </x:c>
      <x:c r="P26" s="180" t="str">
        <x:v>Browser or mobile client is a primary user interface.</x:v>
      </x:c>
      <x:c r="Q26" s="180" t="str">
        <x:v>No browser/mobile presentation layer.</x:v>
      </x:c>
      <x:c r="R26" s="180" t="str">
        <x:v>Support matrix, responsive design evidence and compatibility tests</x:v>
      </x:c>
      <x:c r="S26" s="179" t="str"/>
      <x:c r="T26" s="179" t="str"/>
      <x:c r="U26" s="179" t="str"/>
      <x:c r="V26" s="179" t="str"/>
    </x:row>
    <x:row r="27" ht="76" customHeight="1">
      <x:c r="A27" s="72" t="str">
        <x:v>WEB-002</x:v>
      </x:c>
      <x:c r="B27" s="72" t="str">
        <x:v>Web Application</x:v>
      </x:c>
      <x:c r="C27" s="72" t="str">
        <x:v>Identity &amp; Session Architecture</x:v>
      </x:c>
      <x:c r="D27" s="72" t="str">
        <x:v>Session integrity</x:v>
      </x:c>
      <x:c r="E27" s="72" t="str">
        <x:v>Are authentication redirects, tokens, sessions, timeouts, logout, device trust and privileged paths designed for the actual user journeys?</x:v>
      </x:c>
      <x:c r="F27" s="72" t="str">
        <x:v>Session fixation, token leakage or inconsistent logout exposes accounts or interrupts care/workflow.</x:v>
      </x:c>
      <x:c r="G27" s="63" t="str">
        <x:v>—</x:v>
      </x:c>
      <x:c r="H27" s="63" t="str">
        <x:v>R</x:v>
      </x:c>
      <x:c r="I27" s="63" t="str">
        <x:v>C</x:v>
      </x:c>
      <x:c r="J27" s="63" t="str">
        <x:v>—</x:v>
      </x:c>
      <x:c r="K27" s="63" t="str">
        <x:v>—</x:v>
      </x:c>
      <x:c r="L27" s="63" t="str">
        <x:v>C</x:v>
      </x:c>
      <x:c r="M27" s="63" t="str">
        <x:v>—</x:v>
      </x:c>
      <x:c r="N27" s="63" t="str">
        <x:v>—</x:v>
      </x:c>
      <x:c r="O27" s="63" t="str">
        <x:v>—</x:v>
      </x:c>
      <x:c r="P27" s="72" t="str">
        <x:v>Interactive users authenticate through a browser/mobile client.</x:v>
      </x:c>
      <x:c r="Q27" s="72" t="str">
        <x:v>Machine-only interface with no user session.</x:v>
      </x:c>
      <x:c r="R27" s="72" t="str">
        <x:v>Sequence diagram, token/session configuration and negative-path tests</x:v>
      </x:c>
      <x:c r="S27" s="179" t="str"/>
      <x:c r="T27" s="179" t="str"/>
      <x:c r="U27" s="179" t="str"/>
      <x:c r="V27" s="179" t="str"/>
    </x:row>
    <x:row r="28" ht="76" customHeight="1">
      <x:c r="A28" s="180" t="str">
        <x:v>WEB-003</x:v>
      </x:c>
      <x:c r="B28" s="180" t="str">
        <x:v>Web Application</x:v>
      </x:c>
      <x:c r="C28" s="180" t="str">
        <x:v>Application Security</x:v>
      </x:c>
      <x:c r="D28" s="180" t="str">
        <x:v>Input/output trust</x:v>
      </x:c>
      <x:c r="E28" s="180" t="str">
        <x:v>Are trust boundaries, input validation, output encoding, file handling and server-side authorization designed for exposed functions?</x:v>
      </x:c>
      <x:c r="F28" s="180" t="str">
        <x:v>Untrusted input or client-side assumptions enable injection, data exposure or unauthorized actions.</x:v>
      </x:c>
      <x:c r="G28" s="63" t="str">
        <x:v>—</x:v>
      </x:c>
      <x:c r="H28" s="63" t="str">
        <x:v>R</x:v>
      </x:c>
      <x:c r="I28" s="63" t="str">
        <x:v>—</x:v>
      </x:c>
      <x:c r="J28" s="63" t="str">
        <x:v>—</x:v>
      </x:c>
      <x:c r="K28" s="63" t="str">
        <x:v>—</x:v>
      </x:c>
      <x:c r="L28" s="63" t="str">
        <x:v>C</x:v>
      </x:c>
      <x:c r="M28" s="63" t="str">
        <x:v>—</x:v>
      </x:c>
      <x:c r="N28" s="63" t="str">
        <x:v>—</x:v>
      </x:c>
      <x:c r="O28" s="63" t="str">
        <x:v>—</x:v>
      </x:c>
      <x:c r="P28" s="180" t="str">
        <x:v>Application accepts user-controlled input, files, URLs or rich content.</x:v>
      </x:c>
      <x:c r="Q28" s="180" t="str">
        <x:v>Static read-only content with no user input or protected action.</x:v>
      </x:c>
      <x:c r="R28" s="180" t="str">
        <x:v>Threat model, validation design, test results and authorization rules</x:v>
      </x:c>
      <x:c r="S28" s="179" t="str"/>
      <x:c r="T28" s="179" t="str"/>
      <x:c r="U28" s="179" t="str"/>
      <x:c r="V28" s="179" t="str"/>
    </x:row>
    <x:row r="29" ht="76" customHeight="1">
      <x:c r="A29" s="72" t="str">
        <x:v>WEB-004</x:v>
      </x:c>
      <x:c r="B29" s="72" t="str">
        <x:v>Web Application</x:v>
      </x:c>
      <x:c r="C29" s="72" t="str">
        <x:v>Performance &amp; Scalability</x:v>
      </x:c>
      <x:c r="D29" s="72" t="str">
        <x:v>State and caching</x:v>
      </x:c>
      <x:c r="E29" s="72" t="str">
        <x:v>Are client state, server state, cache/CDN behavior, invalidation and consistency designed for peak and failure conditions?</x:v>
      </x:c>
      <x:c r="F29" s="72" t="str">
        <x:v>Stale or inconsistent state produces incorrect decisions, privacy leakage or instability.</x:v>
      </x:c>
      <x:c r="G29" s="63" t="str">
        <x:v>—</x:v>
      </x:c>
      <x:c r="H29" s="63" t="str">
        <x:v>R</x:v>
      </x:c>
      <x:c r="I29" s="63" t="str">
        <x:v>—</x:v>
      </x:c>
      <x:c r="J29" s="63" t="str">
        <x:v>—</x:v>
      </x:c>
      <x:c r="K29" s="63" t="str">
        <x:v>—</x:v>
      </x:c>
      <x:c r="L29" s="63" t="str">
        <x:v>C</x:v>
      </x:c>
      <x:c r="M29" s="63" t="str">
        <x:v>—</x:v>
      </x:c>
      <x:c r="N29" s="63" t="str">
        <x:v>—</x:v>
      </x:c>
      <x:c r="O29" s="63" t="str">
        <x:v>—</x:v>
      </x:c>
      <x:c r="P29" s="72" t="str">
        <x:v>Application uses sessions, cache, CDN, client storage or distributed state.</x:v>
      </x:c>
      <x:c r="Q29" s="72" t="str">
        <x:v>No meaningful state or caching.</x:v>
      </x:c>
      <x:c r="R29" s="72" t="str">
        <x:v>State model, cache policy, load test and failure test</x:v>
      </x:c>
      <x:c r="S29" s="179" t="str"/>
      <x:c r="T29" s="179" t="str"/>
      <x:c r="U29" s="179" t="str"/>
      <x:c r="V29" s="179" t="str"/>
    </x:row>
    <x:row r="30" ht="76" customHeight="1">
      <x:c r="A30" s="180" t="str">
        <x:v>WEB-005</x:v>
      </x:c>
      <x:c r="B30" s="180" t="str">
        <x:v>Web Application</x:v>
      </x:c>
      <x:c r="C30" s="180" t="str">
        <x:v>Human Factors &amp; Accessibility</x:v>
      </x:c>
      <x:c r="D30" s="180" t="str">
        <x:v>Usability</x:v>
      </x:c>
      <x:c r="E30" s="180" t="str">
        <x:v>Are accessibility, supported assistive technologies, error messaging and critical user workflows validated?</x:v>
      </x:c>
      <x:c r="F30" s="180" t="str">
        <x:v>Users cannot complete critical tasks or misunderstand application state.</x:v>
      </x:c>
      <x:c r="G30" s="63" t="str">
        <x:v>—</x:v>
      </x:c>
      <x:c r="H30" s="63" t="str">
        <x:v>R</x:v>
      </x:c>
      <x:c r="I30" s="63" t="str">
        <x:v>C</x:v>
      </x:c>
      <x:c r="J30" s="63" t="str">
        <x:v>—</x:v>
      </x:c>
      <x:c r="K30" s="63" t="str">
        <x:v>—</x:v>
      </x:c>
      <x:c r="L30" s="63" t="str">
        <x:v>—</x:v>
      </x:c>
      <x:c r="M30" s="63" t="str">
        <x:v>—</x:v>
      </x:c>
      <x:c r="N30" s="63" t="str">
        <x:v>—</x:v>
      </x:c>
      <x:c r="O30" s="63" t="str">
        <x:v>—</x:v>
      </x:c>
      <x:c r="P30" s="180" t="str">
        <x:v>Human-facing web/mobile workflow.</x:v>
      </x:c>
      <x:c r="Q30" s="180" t="str">
        <x:v>No human user interface.</x:v>
      </x:c>
      <x:c r="R30" s="180" t="str">
        <x:v>Accessibility assessment, usability testing and workflow acceptance</x:v>
      </x:c>
      <x:c r="S30" s="179" t="str"/>
      <x:c r="T30" s="179" t="str"/>
      <x:c r="U30" s="179" t="str"/>
      <x:c r="V30" s="179" t="str"/>
    </x:row>
    <x:row r="31" ht="76" customHeight="1">
      <x:c r="A31" s="72" t="str">
        <x:v>WEB-006</x:v>
      </x:c>
      <x:c r="B31" s="72" t="str">
        <x:v>Web Application</x:v>
      </x:c>
      <x:c r="C31" s="72" t="str">
        <x:v>Changeability &amp; Release Safety</x:v>
      </x:c>
      <x:c r="D31" s="72" t="str">
        <x:v>Front/back compatibility</x:v>
      </x:c>
      <x:c r="E31" s="72" t="str">
        <x:v>Can front-end, API and backend versions coexist safely during deployment and rollback?</x:v>
      </x:c>
      <x:c r="F31" s="72" t="str">
        <x:v>Version skew breaks workflows or requires a fragile all-at-once release.</x:v>
      </x:c>
      <x:c r="G31" s="63" t="str">
        <x:v>—</x:v>
      </x:c>
      <x:c r="H31" s="63" t="str">
        <x:v>R</x:v>
      </x:c>
      <x:c r="I31" s="63" t="str">
        <x:v>—</x:v>
      </x:c>
      <x:c r="J31" s="63" t="str">
        <x:v>—</x:v>
      </x:c>
      <x:c r="K31" s="63" t="str">
        <x:v>—</x:v>
      </x:c>
      <x:c r="L31" s="63" t="str">
        <x:v>C</x:v>
      </x:c>
      <x:c r="M31" s="63" t="str">
        <x:v>—</x:v>
      </x:c>
      <x:c r="N31" s="63" t="str">
        <x:v>—</x:v>
      </x:c>
      <x:c r="O31" s="63" t="str">
        <x:v>—</x:v>
      </x:c>
      <x:c r="P31" s="72" t="str">
        <x:v>Separately deployable client/front-end and backend/API.</x:v>
      </x:c>
      <x:c r="Q31" s="72" t="str">
        <x:v>Single atomic deployable with proven rollback.</x:v>
      </x:c>
      <x:c r="R31" s="72" t="str">
        <x:v>Compatibility contract, deployment strategy and rollback test</x:v>
      </x:c>
      <x:c r="S31" s="179" t="str"/>
      <x:c r="T31" s="179" t="str"/>
      <x:c r="U31" s="179" t="str"/>
      <x:c r="V31" s="179" t="str"/>
    </x:row>
    <x:row r="32" ht="76" customHeight="1">
      <x:c r="A32" s="180" t="str">
        <x:v>WEB-007</x:v>
      </x:c>
      <x:c r="B32" s="180" t="str">
        <x:v>Web Application</x:v>
      </x:c>
      <x:c r="C32" s="180" t="str">
        <x:v>Performance &amp; Capacity</x:v>
      </x:c>
      <x:c r="D32" s="180" t="str">
        <x:v>Concurrency</x:v>
      </x:c>
      <x:c r="E32" s="180" t="str">
        <x:v>Are realistic concurrency, payload, latency and rate-limit objectives tested across user and integration paths?</x:v>
      </x:c>
      <x:c r="F32" s="180" t="str">
        <x:v>Peak demand causes timeouts, retry storms or unsafe incomplete transactions.</x:v>
      </x:c>
      <x:c r="G32" s="63" t="str">
        <x:v>—</x:v>
      </x:c>
      <x:c r="H32" s="63" t="str">
        <x:v>R</x:v>
      </x:c>
      <x:c r="I32" s="63" t="str">
        <x:v>C</x:v>
      </x:c>
      <x:c r="J32" s="63" t="str">
        <x:v>—</x:v>
      </x:c>
      <x:c r="K32" s="63" t="str">
        <x:v>—</x:v>
      </x:c>
      <x:c r="L32" s="63" t="str">
        <x:v>C</x:v>
      </x:c>
      <x:c r="M32" s="63" t="str">
        <x:v>—</x:v>
      </x:c>
      <x:c r="N32" s="63" t="str">
        <x:v>—</x:v>
      </x:c>
      <x:c r="O32" s="63" t="str">
        <x:v>—</x:v>
      </x:c>
      <x:c r="P32" s="180" t="str">
        <x:v>Material user concurrency or variable demand.</x:v>
      </x:c>
      <x:c r="Q32" s="180" t="str">
        <x:v>Very low-volume internal utility with documented tolerance.</x:v>
      </x:c>
      <x:c r="R32" s="180" t="str">
        <x:v>Workload model, SLOs, load test and capacity thresholds</x:v>
      </x:c>
      <x:c r="S32" s="179" t="str"/>
      <x:c r="T32" s="179" t="str"/>
      <x:c r="U32" s="179" t="str"/>
      <x:c r="V32" s="179" t="str"/>
    </x:row>
    <x:row r="33" ht="76" customHeight="1">
      <x:c r="A33" s="72" t="str">
        <x:v>WEB-008</x:v>
      </x:c>
      <x:c r="B33" s="72" t="str">
        <x:v>Web Application</x:v>
      </x:c>
      <x:c r="C33" s="72" t="str">
        <x:v>Operability &amp; Observability</x:v>
      </x:c>
      <x:c r="D33" s="72" t="str">
        <x:v>Journey health</x:v>
      </x:c>
      <x:c r="E33" s="72" t="str">
        <x:v>Can monitoring distinguish page availability from successful completion of critical user journeys?</x:v>
      </x:c>
      <x:c r="F33" s="72" t="str">
        <x:v>Infrastructure appears healthy while users cannot complete a transaction.</x:v>
      </x:c>
      <x:c r="G33" s="63" t="str">
        <x:v>—</x:v>
      </x:c>
      <x:c r="H33" s="63" t="str">
        <x:v>R</x:v>
      </x:c>
      <x:c r="I33" s="63" t="str">
        <x:v>C</x:v>
      </x:c>
      <x:c r="J33" s="63" t="str">
        <x:v>—</x:v>
      </x:c>
      <x:c r="K33" s="63" t="str">
        <x:v>—</x:v>
      </x:c>
      <x:c r="L33" s="63" t="str">
        <x:v>—</x:v>
      </x:c>
      <x:c r="M33" s="63" t="str">
        <x:v>—</x:v>
      </x:c>
      <x:c r="N33" s="63" t="str">
        <x:v>—</x:v>
      </x:c>
      <x:c r="O33" s="63" t="str">
        <x:v>—</x:v>
      </x:c>
      <x:c r="P33" s="72" t="str">
        <x:v>User-facing production workflow.</x:v>
      </x:c>
      <x:c r="Q33" s="72" t="str">
        <x:v>No interactive user journey.</x:v>
      </x:c>
      <x:c r="R33" s="72" t="str">
        <x:v>Synthetic monitoring, tracing, frontend telemetry and alert runbook</x:v>
      </x:c>
      <x:c r="S33" s="179" t="str"/>
      <x:c r="T33" s="179" t="str"/>
      <x:c r="U33" s="179" t="str"/>
      <x:c r="V33" s="179" t="str"/>
    </x:row>
    <x:row r="34" ht="76" customHeight="1">
      <x:c r="A34" s="180" t="str">
        <x:v>SAA-001</x:v>
      </x:c>
      <x:c r="B34" s="180" t="str">
        <x:v>SaaS Application</x:v>
      </x:c>
      <x:c r="C34" s="180" t="str">
        <x:v>SaaS Architecture</x:v>
      </x:c>
      <x:c r="D34" s="180" t="str">
        <x:v>Tenant isolation</x:v>
      </x:c>
      <x:c r="E34" s="180" t="str">
        <x:v>Is tenant, customer and environment isolation understood across application, data, support and administrative planes?</x:v>
      </x:c>
      <x:c r="F34" s="180" t="str">
        <x:v>A logical isolation failure exposes another tenant's data or operations.</x:v>
      </x:c>
      <x:c r="G34" s="63" t="str">
        <x:v>—</x:v>
      </x:c>
      <x:c r="H34" s="63" t="str">
        <x:v>—</x:v>
      </x:c>
      <x:c r="I34" s="63" t="str">
        <x:v>R</x:v>
      </x:c>
      <x:c r="J34" s="63" t="str">
        <x:v>—</x:v>
      </x:c>
      <x:c r="K34" s="63" t="str">
        <x:v>—</x:v>
      </x:c>
      <x:c r="L34" s="63" t="str">
        <x:v>C</x:v>
      </x:c>
      <x:c r="M34" s="63" t="str">
        <x:v>—</x:v>
      </x:c>
      <x:c r="N34" s="63" t="str">
        <x:v>—</x:v>
      </x:c>
      <x:c r="O34" s="63" t="str">
        <x:v>—</x:v>
      </x:c>
      <x:c r="P34" s="180" t="str">
        <x:v>Vendor-hosted multi-customer or logically partitioned service.</x:v>
      </x:c>
      <x:c r="Q34" s="180" t="str">
        <x:v>Dedicated single-customer hosting with evidenced isolation; then assess dedicated topology instead.</x:v>
      </x:c>
      <x:c r="R34" s="180" t="str">
        <x:v>Tenancy design, assurance evidence, admin model and test results</x:v>
      </x:c>
      <x:c r="S34" s="179" t="str"/>
      <x:c r="T34" s="179" t="str"/>
      <x:c r="U34" s="179" t="str"/>
      <x:c r="V34" s="179" t="str"/>
    </x:row>
    <x:row r="35" ht="76" customHeight="1">
      <x:c r="A35" s="72" t="str">
        <x:v>SAA-002</x:v>
      </x:c>
      <x:c r="B35" s="72" t="str">
        <x:v>SaaS Application</x:v>
      </x:c>
      <x:c r="C35" s="72" t="str">
        <x:v>Identity Architecture</x:v>
      </x:c>
      <x:c r="D35" s="72" t="str">
        <x:v>Federation lifecycle</x:v>
      </x:c>
      <x:c r="E35" s="72" t="str">
        <x:v>Does the service support required federation, MFA, provisioning/deprovisioning, role mapping and break-glass behavior?</x:v>
      </x:c>
      <x:c r="F35" s="72" t="str">
        <x:v>Access persists outside enterprise lifecycle controls or role mappings grant excessive privilege.</x:v>
      </x:c>
      <x:c r="G35" s="63" t="str">
        <x:v>—</x:v>
      </x:c>
      <x:c r="H35" s="63" t="str">
        <x:v>C</x:v>
      </x:c>
      <x:c r="I35" s="63" t="str">
        <x:v>R</x:v>
      </x:c>
      <x:c r="J35" s="63" t="str">
        <x:v>—</x:v>
      </x:c>
      <x:c r="K35" s="63" t="str">
        <x:v>—</x:v>
      </x:c>
      <x:c r="L35" s="63" t="str">
        <x:v>—</x:v>
      </x:c>
      <x:c r="M35" s="63" t="str">
        <x:v>—</x:v>
      </x:c>
      <x:c r="N35" s="63" t="str">
        <x:v>—</x:v>
      </x:c>
      <x:c r="O35" s="63" t="str">
        <x:v>—</x:v>
      </x:c>
      <x:c r="P35" s="72" t="str">
        <x:v>Workforce or administrators access vendor-hosted service.</x:v>
      </x:c>
      <x:c r="Q35" s="72" t="str">
        <x:v>No human/vendor access and machine identity is covered elsewhere.</x:v>
      </x:c>
      <x:c r="R35" s="72" t="str">
        <x:v>SSO/SCIM design, role matrix, JML test and break-glass procedure</x:v>
      </x:c>
      <x:c r="S35" s="179" t="str"/>
      <x:c r="T35" s="179" t="str"/>
      <x:c r="U35" s="179" t="str"/>
      <x:c r="V35" s="179" t="str"/>
    </x:row>
    <x:row r="36" ht="76" customHeight="1">
      <x:c r="A36" s="180" t="str">
        <x:v>SAA-003</x:v>
      </x:c>
      <x:c r="B36" s="180" t="str">
        <x:v>SaaS Application</x:v>
      </x:c>
      <x:c r="C36" s="180" t="str">
        <x:v>Data Architecture</x:v>
      </x:c>
      <x:c r="D36" s="180" t="str">
        <x:v>Residency and subprocessors</x:v>
      </x:c>
      <x:c r="E36" s="180" t="str">
        <x:v>Are production, backup, support and telemetry locations plus subprocessors consistent with requirements?</x:v>
      </x:c>
      <x:c r="F36" s="180" t="str">
        <x:v>Sensitive data moves to an unapproved geography or fourth party.</x:v>
      </x:c>
      <x:c r="G36" s="63" t="str">
        <x:v>—</x:v>
      </x:c>
      <x:c r="H36" s="63" t="str">
        <x:v>—</x:v>
      </x:c>
      <x:c r="I36" s="63" t="str">
        <x:v>R</x:v>
      </x:c>
      <x:c r="J36" s="63" t="str">
        <x:v>—</x:v>
      </x:c>
      <x:c r="K36" s="63" t="str">
        <x:v>—</x:v>
      </x:c>
      <x:c r="L36" s="63" t="str">
        <x:v>—</x:v>
      </x:c>
      <x:c r="M36" s="63" t="str">
        <x:v>C</x:v>
      </x:c>
      <x:c r="N36" s="63" t="str">
        <x:v>C</x:v>
      </x:c>
      <x:c r="O36" s="63" t="str">
        <x:v>—</x:v>
      </x:c>
      <x:c r="P36" s="180" t="str">
        <x:v>Vendor hosts, supports or processes organizational data.</x:v>
      </x:c>
      <x:c r="Q36" s="180" t="str">
        <x:v>Vendor has no data access or persistence, supported by evidence.</x:v>
      </x:c>
      <x:c r="R36" s="180" t="str">
        <x:v>Data location map, subprocessor list, contract terms and flow diagram</x:v>
      </x:c>
      <x:c r="S36" s="179" t="str"/>
      <x:c r="T36" s="179" t="str"/>
      <x:c r="U36" s="179" t="str"/>
      <x:c r="V36" s="179" t="str"/>
    </x:row>
    <x:row r="37" ht="76" customHeight="1">
      <x:c r="A37" s="72" t="str">
        <x:v>SAA-004</x:v>
      </x:c>
      <x:c r="B37" s="72" t="str">
        <x:v>SaaS Application</x:v>
      </x:c>
      <x:c r="C37" s="72" t="str">
        <x:v>Availability &amp; Resilience</x:v>
      </x:c>
      <x:c r="D37" s="72" t="str">
        <x:v>Service dependency</x:v>
      </x:c>
      <x:c r="E37" s="72" t="str">
        <x:v>Do contractual availability, vendor recovery, customer connectivity and internal downtime procedures form a complete service-continuity design?</x:v>
      </x:c>
      <x:c r="F37" s="72" t="str">
        <x:v>The vendor meets its SLA while the end-to-end business service remains unavailable or unrecoverable.</x:v>
      </x:c>
      <x:c r="G37" s="63" t="str">
        <x:v>—</x:v>
      </x:c>
      <x:c r="H37" s="63" t="str">
        <x:v>C</x:v>
      </x:c>
      <x:c r="I37" s="63" t="str">
        <x:v>R</x:v>
      </x:c>
      <x:c r="J37" s="63" t="str">
        <x:v>—</x:v>
      </x:c>
      <x:c r="K37" s="63" t="str">
        <x:v>—</x:v>
      </x:c>
      <x:c r="L37" s="63" t="str">
        <x:v>—</x:v>
      </x:c>
      <x:c r="M37" s="63" t="str">
        <x:v>—</x:v>
      </x:c>
      <x:c r="N37" s="63" t="str">
        <x:v>—</x:v>
      </x:c>
      <x:c r="O37" s="63" t="str">
        <x:v>—</x:v>
      </x:c>
      <x:c r="P37" s="72" t="str">
        <x:v>Business relies on vendor-hosted production service.</x:v>
      </x:c>
      <x:c r="Q37" s="72" t="str">
        <x:v>Noncritical service with documented outage tolerance and no recovery requirement.</x:v>
      </x:c>
      <x:c r="R37" s="72" t="str">
        <x:v>SLA, status history, vendor DR evidence, internal dependency map and downtime plan</x:v>
      </x:c>
      <x:c r="S37" s="179" t="str"/>
      <x:c r="T37" s="179" t="str"/>
      <x:c r="U37" s="179" t="str"/>
      <x:c r="V37" s="179" t="str"/>
    </x:row>
    <x:row r="38" ht="76" customHeight="1">
      <x:c r="A38" s="180" t="str">
        <x:v>SAA-005</x:v>
      </x:c>
      <x:c r="B38" s="180" t="str">
        <x:v>SaaS Application</x:v>
      </x:c>
      <x:c r="C38" s="180" t="str">
        <x:v>Operability &amp; Observability</x:v>
      </x:c>
      <x:c r="D38" s="180" t="str">
        <x:v>Telemetry access</x:v>
      </x:c>
      <x:c r="E38" s="180" t="str">
        <x:v>Can required audit, health, administrative and security events be exported, correlated and retained?</x:v>
      </x:c>
      <x:c r="F38" s="180" t="str">
        <x:v>Internal teams cannot detect misuse, investigate incidents or distinguish vendor from integration failures.</x:v>
      </x:c>
      <x:c r="G38" s="63" t="str">
        <x:v>—</x:v>
      </x:c>
      <x:c r="H38" s="63" t="str">
        <x:v>C</x:v>
      </x:c>
      <x:c r="I38" s="63" t="str">
        <x:v>R</x:v>
      </x:c>
      <x:c r="J38" s="63" t="str">
        <x:v>—</x:v>
      </x:c>
      <x:c r="K38" s="63" t="str">
        <x:v>—</x:v>
      </x:c>
      <x:c r="L38" s="63" t="str">
        <x:v>—</x:v>
      </x:c>
      <x:c r="M38" s="63" t="str">
        <x:v>—</x:v>
      </x:c>
      <x:c r="N38" s="63" t="str">
        <x:v>—</x:v>
      </x:c>
      <x:c r="O38" s="63" t="str">
        <x:v>—</x:v>
      </x:c>
      <x:c r="P38" s="180" t="str">
        <x:v>Service is material, sensitive or integrated.</x:v>
      </x:c>
      <x:c r="Q38" s="180" t="str">
        <x:v>Low-risk service where centralized evidence is explicitly not required.</x:v>
      </x:c>
      <x:c r="R38" s="180" t="str">
        <x:v>Log catalog, API/export method, retention and alert integration</x:v>
      </x:c>
      <x:c r="S38" s="179" t="str"/>
      <x:c r="T38" s="179" t="str"/>
      <x:c r="U38" s="179" t="str"/>
      <x:c r="V38" s="179" t="str"/>
    </x:row>
    <x:row r="39" ht="76" customHeight="1">
      <x:c r="A39" s="72" t="str">
        <x:v>SAA-006</x:v>
      </x:c>
      <x:c r="B39" s="72" t="str">
        <x:v>SaaS Application</x:v>
      </x:c>
      <x:c r="C39" s="72" t="str">
        <x:v>Configuration &amp; Change</x:v>
      </x:c>
      <x:c r="D39" s="72" t="str">
        <x:v>Customer configuration</x:v>
      </x:c>
      <x:c r="E39" s="72" t="str">
        <x:v>Are customer-managed settings, workflows, roles and integrations versioned, tested and recoverable across vendor releases?</x:v>
      </x:c>
      <x:c r="F39" s="72" t="str">
        <x:v>A vendor release or administrator change silently alters business behavior.</x:v>
      </x:c>
      <x:c r="G39" s="63" t="str">
        <x:v>—</x:v>
      </x:c>
      <x:c r="H39" s="63" t="str">
        <x:v>—</x:v>
      </x:c>
      <x:c r="I39" s="63" t="str">
        <x:v>R</x:v>
      </x:c>
      <x:c r="J39" s="63" t="str">
        <x:v>—</x:v>
      </x:c>
      <x:c r="K39" s="63" t="str">
        <x:v>—</x:v>
      </x:c>
      <x:c r="L39" s="63" t="str">
        <x:v>—</x:v>
      </x:c>
      <x:c r="M39" s="63" t="str">
        <x:v>—</x:v>
      </x:c>
      <x:c r="N39" s="63" t="str">
        <x:v>—</x:v>
      </x:c>
      <x:c r="O39" s="63" t="str">
        <x:v>—</x:v>
      </x:c>
      <x:c r="P39" s="72" t="str">
        <x:v>Customer configures material workflow or integration behavior.</x:v>
      </x:c>
      <x:c r="Q39" s="72" t="str">
        <x:v>Service has no material customer-managed configuration.</x:v>
      </x:c>
      <x:c r="R39" s="72" t="str">
        <x:v>Configuration inventory, sandbox/release notes, change test and rollback/export</x:v>
      </x:c>
      <x:c r="S39" s="179" t="str"/>
      <x:c r="T39" s="179" t="str"/>
      <x:c r="U39" s="179" t="str"/>
      <x:c r="V39" s="179" t="str"/>
    </x:row>
    <x:row r="40" ht="76" customHeight="1">
      <x:c r="A40" s="180" t="str">
        <x:v>SAA-007</x:v>
      </x:c>
      <x:c r="B40" s="180" t="str">
        <x:v>SaaS Application</x:v>
      </x:c>
      <x:c r="C40" s="180" t="str">
        <x:v>Integration Architecture</x:v>
      </x:c>
      <x:c r="D40" s="180" t="str">
        <x:v>Egress and API dependency</x:v>
      </x:c>
      <x:c r="E40" s="180" t="str">
        <x:v>Are SaaS APIs, allowlists, certificates, rate limits, webhooks and egress dependencies designed and monitored?</x:v>
      </x:c>
      <x:c r="F40" s="180" t="str">
        <x:v>External API or connectivity changes cause silent data loss or sustained backlog.</x:v>
      </x:c>
      <x:c r="G40" s="63" t="str">
        <x:v>—</x:v>
      </x:c>
      <x:c r="H40" s="63" t="str">
        <x:v>—</x:v>
      </x:c>
      <x:c r="I40" s="63" t="str">
        <x:v>R</x:v>
      </x:c>
      <x:c r="J40" s="63" t="str">
        <x:v>C</x:v>
      </x:c>
      <x:c r="K40" s="63" t="str">
        <x:v>—</x:v>
      </x:c>
      <x:c r="L40" s="63" t="str">
        <x:v>C</x:v>
      </x:c>
      <x:c r="M40" s="63" t="str">
        <x:v>—</x:v>
      </x:c>
      <x:c r="N40" s="63" t="str">
        <x:v>—</x:v>
      </x:c>
      <x:c r="O40" s="63" t="str">
        <x:v>—</x:v>
      </x:c>
      <x:c r="P40" s="180" t="str">
        <x:v>SaaS integrates with enterprise systems.</x:v>
      </x:c>
      <x:c r="Q40" s="180" t="str">
        <x:v>Standalone SaaS with no system integration.</x:v>
      </x:c>
      <x:c r="R40" s="180" t="str">
        <x:v>API contract, network flow, retry model, quotas and monitoring</x:v>
      </x:c>
      <x:c r="S40" s="179" t="str"/>
      <x:c r="T40" s="179" t="str"/>
      <x:c r="U40" s="179" t="str"/>
      <x:c r="V40" s="179" t="str"/>
    </x:row>
    <x:row r="41" ht="76" customHeight="1">
      <x:c r="A41" s="72" t="str">
        <x:v>SAA-008</x:v>
      </x:c>
      <x:c r="B41" s="72" t="str">
        <x:v>SaaS Application</x:v>
      </x:c>
      <x:c r="C41" s="72" t="str">
        <x:v>Reversibility &amp; Exit</x:v>
      </x:c>
      <x:c r="D41" s="72" t="str">
        <x:v>Portability</x:v>
      </x:c>
      <x:c r="E41" s="72" t="str">
        <x:v>Can data, configuration, audit history and integrations be exported in usable form within an acceptable transition period?</x:v>
      </x:c>
      <x:c r="F41" s="72" t="str">
        <x:v>Contract termination or vendor failure leaves data or workflow locked in the service.</x:v>
      </x:c>
      <x:c r="G41" s="63" t="str">
        <x:v>—</x:v>
      </x:c>
      <x:c r="H41" s="63" t="str">
        <x:v>—</x:v>
      </x:c>
      <x:c r="I41" s="63" t="str">
        <x:v>R</x:v>
      </x:c>
      <x:c r="J41" s="63" t="str">
        <x:v>—</x:v>
      </x:c>
      <x:c r="K41" s="63" t="str">
        <x:v>—</x:v>
      </x:c>
      <x:c r="L41" s="63" t="str">
        <x:v>—</x:v>
      </x:c>
      <x:c r="M41" s="63" t="str">
        <x:v>C</x:v>
      </x:c>
      <x:c r="N41" s="63" t="str">
        <x:v>—</x:v>
      </x:c>
      <x:c r="O41" s="63" t="str">
        <x:v>—</x:v>
      </x:c>
      <x:c r="P41" s="72" t="str">
        <x:v>Service stores material data or configuration.</x:v>
      </x:c>
      <x:c r="Q41" s="72" t="str">
        <x:v>Disposable service with no material retained data and documented replacement approach.</x:v>
      </x:c>
      <x:c r="R41" s="72" t="str">
        <x:v>Export test, data dictionary, exit plan, transition terms and destruction evidence</x:v>
      </x:c>
      <x:c r="S41" s="179" t="str"/>
      <x:c r="T41" s="179" t="str"/>
      <x:c r="U41" s="179" t="str"/>
      <x:c r="V41" s="179" t="str"/>
    </x:row>
    <x:row r="42" ht="76" customHeight="1">
      <x:c r="A42" s="180" t="str">
        <x:v>SAA-009</x:v>
      </x:c>
      <x:c r="B42" s="180" t="str">
        <x:v>SaaS Application</x:v>
      </x:c>
      <x:c r="C42" s="180" t="str">
        <x:v>Shared Responsibility</x:v>
      </x:c>
      <x:c r="D42" s="180" t="str">
        <x:v>Control ownership</x:v>
      </x:c>
      <x:c r="E42" s="180" t="str">
        <x:v>Is responsibility explicit for identity, configuration, logging, backup, incidents, vulnerability response and data lifecycle?</x:v>
      </x:c>
      <x:c r="F42" s="180" t="str">
        <x:v>Both vendor and customer assume the other party owns a critical control.</x:v>
      </x:c>
      <x:c r="G42" s="63" t="str">
        <x:v>—</x:v>
      </x:c>
      <x:c r="H42" s="63" t="str">
        <x:v>—</x:v>
      </x:c>
      <x:c r="I42" s="63" t="str">
        <x:v>R</x:v>
      </x:c>
      <x:c r="J42" s="63" t="str">
        <x:v>—</x:v>
      </x:c>
      <x:c r="K42" s="63" t="str">
        <x:v>—</x:v>
      </x:c>
      <x:c r="L42" s="63" t="str">
        <x:v>C</x:v>
      </x:c>
      <x:c r="M42" s="63" t="str">
        <x:v>—</x:v>
      </x:c>
      <x:c r="N42" s="63" t="str">
        <x:v>—</x:v>
      </x:c>
      <x:c r="O42" s="63" t="str">
        <x:v>—</x:v>
      </x:c>
      <x:c r="P42" s="180" t="str">
        <x:v>Vendor and customer share operational/security responsibilities.</x:v>
      </x:c>
      <x:c r="Q42" s="180" t="str">
        <x:v>Fully customer-operated or fully vendor-operated model with no shared boundary.</x:v>
      </x:c>
      <x:c r="R42" s="180" t="str">
        <x:v>Shared-responsibility matrix, contract/SLA and internal RACI</x:v>
      </x:c>
      <x:c r="S42" s="179" t="str"/>
      <x:c r="T42" s="179" t="str"/>
      <x:c r="U42" s="179" t="str"/>
      <x:c r="V42" s="179" t="str"/>
    </x:row>
    <x:row r="43" ht="76" customHeight="1">
      <x:c r="A43" s="72" t="str">
        <x:v>EPI-001</x:v>
      </x:c>
      <x:c r="B43" s="72" t="str">
        <x:v>Epic / Clinical Interface</x:v>
      </x:c>
      <x:c r="C43" s="72" t="str">
        <x:v>Clinical Integration</x:v>
      </x:c>
      <x:c r="D43" s="72" t="str">
        <x:v>Supported pattern</x:v>
      </x:c>
      <x:c r="E43" s="72" t="str">
        <x:v>Is the integration method an approved Epic and enterprise pattern (HL7, FHIR, DICOM, Interconnect, Bridges, interface engine or other supported service)?</x:v>
      </x:c>
      <x:c r="F43" s="72" t="str">
        <x:v>An unsupported integration becomes brittle, unmaintainable or unsafe during Epic/vendor upgrades.</x:v>
      </x:c>
      <x:c r="G43" s="63" t="str">
        <x:v>C</x:v>
      </x:c>
      <x:c r="H43" s="63" t="str">
        <x:v>—</x:v>
      </x:c>
      <x:c r="I43" s="63" t="str">
        <x:v>—</x:v>
      </x:c>
      <x:c r="J43" s="63" t="str">
        <x:v>R</x:v>
      </x:c>
      <x:c r="K43" s="63" t="str">
        <x:v>—</x:v>
      </x:c>
      <x:c r="L43" s="63" t="str">
        <x:v>—</x:v>
      </x:c>
      <x:c r="M43" s="63" t="str">
        <x:v>—</x:v>
      </x:c>
      <x:c r="N43" s="63" t="str">
        <x:v>—</x:v>
      </x:c>
      <x:c r="O43" s="63" t="str">
        <x:v>—</x:v>
      </x:c>
      <x:c r="P43" s="72" t="str">
        <x:v>Epic or another clinical system exchanges data or workflow with the solution.</x:v>
      </x:c>
      <x:c r="Q43" s="72" t="str">
        <x:v>No clinical-system integration.</x:v>
      </x:c>
      <x:c r="R43" s="72" t="str">
        <x:v>Interface architecture, Epic/vendor specifications and standards review</x:v>
      </x:c>
      <x:c r="S43" s="179" t="str"/>
      <x:c r="T43" s="179" t="str"/>
      <x:c r="U43" s="179" t="str"/>
      <x:c r="V43" s="179" t="str"/>
    </x:row>
    <x:row r="44" ht="76" customHeight="1">
      <x:c r="A44" s="180" t="str">
        <x:v>EPI-002</x:v>
      </x:c>
      <x:c r="B44" s="180" t="str">
        <x:v>Epic / Clinical Interface</x:v>
      </x:c>
      <x:c r="C44" s="180" t="str">
        <x:v>Integration &amp; Workflow Integrity</x:v>
      </x:c>
      <x:c r="D44" s="180" t="str">
        <x:v>Contract semantics</x:v>
      </x:c>
      <x:c r="E44" s="180" t="str">
        <x:v>Are message/resource semantics, source of truth, version, acknowledgments and ownership defined for every transaction?</x:v>
      </x:c>
      <x:c r="F44" s="180" t="str">
        <x:v>Ambiguous contracts create silent loss, incompatible changes or conflicting clinical records.</x:v>
      </x:c>
      <x:c r="G44" s="63" t="str">
        <x:v>—</x:v>
      </x:c>
      <x:c r="H44" s="63" t="str">
        <x:v>—</x:v>
      </x:c>
      <x:c r="I44" s="63" t="str">
        <x:v>—</x:v>
      </x:c>
      <x:c r="J44" s="63" t="str">
        <x:v>R</x:v>
      </x:c>
      <x:c r="K44" s="63" t="str">
        <x:v>—</x:v>
      </x:c>
      <x:c r="L44" s="63" t="str">
        <x:v>C</x:v>
      </x:c>
      <x:c r="M44" s="63" t="str">
        <x:v>C</x:v>
      </x:c>
      <x:c r="N44" s="63" t="str">
        <x:v>—</x:v>
      </x:c>
      <x:c r="O44" s="63" t="str">
        <x:v>—</x:v>
      </x:c>
      <x:c r="P44" s="180" t="str">
        <x:v>Clinical data crosses an interface boundary.</x:v>
      </x:c>
      <x:c r="Q44" s="180" t="str">
        <x:v>No clinical transaction exchange.</x:v>
      </x:c>
      <x:c r="R44" s="180" t="str">
        <x:v>Interface specification, field mapping, version contract and ownership</x:v>
      </x:c>
      <x:c r="S44" s="179" t="str"/>
      <x:c r="T44" s="179" t="str"/>
      <x:c r="U44" s="179" t="str"/>
      <x:c r="V44" s="179" t="str"/>
    </x:row>
    <x:row r="45" ht="76" customHeight="1">
      <x:c r="A45" s="72" t="str">
        <x:v>EPI-003</x:v>
      </x:c>
      <x:c r="B45" s="72" t="str">
        <x:v>Epic / Clinical Interface</x:v>
      </x:c>
      <x:c r="C45" s="72" t="str">
        <x:v>Clinical Data Integrity</x:v>
      </x:c>
      <x:c r="D45" s="72" t="str">
        <x:v>Patient/order/result identity</x:v>
      </x:c>
      <x:c r="E45" s="72" t="str">
        <x:v>Are patient, encounter, order, accession/specimen, device and result identifiers matched and validated end to end?</x:v>
      </x:c>
      <x:c r="F45" s="72" t="str">
        <x:v>Information is filed to the wrong patient, encounter or order.</x:v>
      </x:c>
      <x:c r="G45" s="63" t="str">
        <x:v>C</x:v>
      </x:c>
      <x:c r="H45" s="63" t="str">
        <x:v>—</x:v>
      </x:c>
      <x:c r="I45" s="63" t="str">
        <x:v>—</x:v>
      </x:c>
      <x:c r="J45" s="63" t="str">
        <x:v>R</x:v>
      </x:c>
      <x:c r="K45" s="63" t="str">
        <x:v>—</x:v>
      </x:c>
      <x:c r="L45" s="63" t="str">
        <x:v>—</x:v>
      </x:c>
      <x:c r="M45" s="63" t="str">
        <x:v>—</x:v>
      </x:c>
      <x:c r="N45" s="63" t="str">
        <x:v>—</x:v>
      </x:c>
      <x:c r="O45" s="63" t="str">
        <x:v>—</x:v>
      </x:c>
      <x:c r="P45" s="72" t="str">
        <x:v>Patient/order/result/image/document workflow.</x:v>
      </x:c>
      <x:c r="Q45" s="72" t="str">
        <x:v>No patient-linked data.</x:v>
      </x:c>
      <x:c r="R45" s="72" t="str">
        <x:v>Mapping, identity rules, positive/negative tests and reconciliation</x:v>
      </x:c>
      <x:c r="S45" s="179" t="str"/>
      <x:c r="T45" s="179" t="str"/>
      <x:c r="U45" s="179" t="str"/>
      <x:c r="V45" s="179" t="str"/>
    </x:row>
    <x:row r="46" ht="76" customHeight="1">
      <x:c r="A46" s="180" t="str">
        <x:v>EPI-004</x:v>
      </x:c>
      <x:c r="B46" s="180" t="str">
        <x:v>Epic / Clinical Interface</x:v>
      </x:c>
      <x:c r="C46" s="180" t="str">
        <x:v>Integration &amp; Workflow Integrity</x:v>
      </x:c>
      <x:c r="D46" s="180" t="str">
        <x:v>Delivery semantics</x:v>
      </x:c>
      <x:c r="E46" s="180" t="str">
        <x:v>Are retry, duplicate, out-of-order, partial delivery, timeout and idempotency behaviors defined?</x:v>
      </x:c>
      <x:c r="F46" s="180" t="str">
        <x:v>Transient failures create duplicate, missing or inconsistent clinical transactions.</x:v>
      </x:c>
      <x:c r="G46" s="63" t="str">
        <x:v>—</x:v>
      </x:c>
      <x:c r="H46" s="63" t="str">
        <x:v>—</x:v>
      </x:c>
      <x:c r="I46" s="63" t="str">
        <x:v>—</x:v>
      </x:c>
      <x:c r="J46" s="63" t="str">
        <x:v>R</x:v>
      </x:c>
      <x:c r="K46" s="63" t="str">
        <x:v>—</x:v>
      </x:c>
      <x:c r="L46" s="63" t="str">
        <x:v>C</x:v>
      </x:c>
      <x:c r="M46" s="63" t="str">
        <x:v>—</x:v>
      </x:c>
      <x:c r="N46" s="63" t="str">
        <x:v>—</x:v>
      </x:c>
      <x:c r="O46" s="63" t="str">
        <x:v>—</x:v>
      </x:c>
      <x:c r="P46" s="180" t="str">
        <x:v>Asynchronous or retried interface exchange.</x:v>
      </x:c>
      <x:c r="Q46" s="180" t="str">
        <x:v>Read-only synchronous query with no state-changing behavior and proven timeout handling.</x:v>
      </x:c>
      <x:c r="R46" s="180" t="str">
        <x:v>Sequence diagrams, retry/idempotency rules and negative-path tests</x:v>
      </x:c>
      <x:c r="S46" s="179" t="str"/>
      <x:c r="T46" s="179" t="str"/>
      <x:c r="U46" s="179" t="str"/>
      <x:c r="V46" s="179" t="str"/>
    </x:row>
    <x:row r="47" ht="76" customHeight="1">
      <x:c r="A47" s="72" t="str">
        <x:v>EPI-005</x:v>
      </x:c>
      <x:c r="B47" s="72" t="str">
        <x:v>Epic / Clinical Interface</x:v>
      </x:c>
      <x:c r="C47" s="72" t="str">
        <x:v>Availability &amp; Fault Containment</x:v>
      </x:c>
      <x:c r="D47" s="72" t="str">
        <x:v>Queue and backlog</x:v>
      </x:c>
      <x:c r="E47" s="72" t="str">
        <x:v>Are queue limits, backlog aging, replay, poison-message isolation and recovery behavior controlled?</x:v>
      </x:c>
      <x:c r="F47" s="72" t="str">
        <x:v>Backlog consumes capacity, replays stale data or blocks unrelated transactions.</x:v>
      </x:c>
      <x:c r="G47" s="63" t="str">
        <x:v>—</x:v>
      </x:c>
      <x:c r="H47" s="63" t="str">
        <x:v>—</x:v>
      </x:c>
      <x:c r="I47" s="63" t="str">
        <x:v>—</x:v>
      </x:c>
      <x:c r="J47" s="63" t="str">
        <x:v>R</x:v>
      </x:c>
      <x:c r="K47" s="63" t="str">
        <x:v>—</x:v>
      </x:c>
      <x:c r="L47" s="63" t="str">
        <x:v>C</x:v>
      </x:c>
      <x:c r="M47" s="63" t="str">
        <x:v>C</x:v>
      </x:c>
      <x:c r="N47" s="63" t="str">
        <x:v>—</x:v>
      </x:c>
      <x:c r="O47" s="63" t="str">
        <x:v>—</x:v>
      </x:c>
      <x:c r="P47" s="72" t="str">
        <x:v>Queued, batch or store-and-forward exchange.</x:v>
      </x:c>
      <x:c r="Q47" s="72" t="str">
        <x:v>No queue/batch/persistent delivery path.</x:v>
      </x:c>
      <x:c r="R47" s="72" t="str">
        <x:v>Queue design, thresholds, replay runbook and failure testing</x:v>
      </x:c>
      <x:c r="S47" s="179" t="str"/>
      <x:c r="T47" s="179" t="str"/>
      <x:c r="U47" s="179" t="str"/>
      <x:c r="V47" s="179" t="str"/>
    </x:row>
    <x:row r="48" ht="76" customHeight="1">
      <x:c r="A48" s="180" t="str">
        <x:v>EPI-006</x:v>
      </x:c>
      <x:c r="B48" s="180" t="str">
        <x:v>Epic / Clinical Interface</x:v>
      </x:c>
      <x:c r="C48" s="180" t="str">
        <x:v>Clinical Continuity</x:v>
      </x:c>
      <x:c r="D48" s="180" t="str">
        <x:v>Downtime and reconciliation</x:v>
      </x:c>
      <x:c r="E48" s="180" t="str">
        <x:v>Are planned/unplanned downtime, manual work, delayed entry, back-entry and post-restoration reconciliation clinically approved?</x:v>
      </x:c>
      <x:c r="F48" s="180" t="str">
        <x:v>Outages cause lost documentation, duplicate work or unsafe delayed results.</x:v>
      </x:c>
      <x:c r="G48" s="63" t="str">
        <x:v>C</x:v>
      </x:c>
      <x:c r="H48" s="63" t="str">
        <x:v>—</x:v>
      </x:c>
      <x:c r="I48" s="63" t="str">
        <x:v>—</x:v>
      </x:c>
      <x:c r="J48" s="63" t="str">
        <x:v>R</x:v>
      </x:c>
      <x:c r="K48" s="63" t="str">
        <x:v>—</x:v>
      </x:c>
      <x:c r="L48" s="63" t="str">
        <x:v>—</x:v>
      </x:c>
      <x:c r="M48" s="63" t="str">
        <x:v>—</x:v>
      </x:c>
      <x:c r="N48" s="63" t="str">
        <x:v>—</x:v>
      </x:c>
      <x:c r="O48" s="63" t="str">
        <x:v>—</x:v>
      </x:c>
      <x:c r="P48" s="180" t="str">
        <x:v>Interface affects clinical workflow or documentation.</x:v>
      </x:c>
      <x:c r="Q48" s="180" t="str">
        <x:v>Non-clinical interface with no material continuity impact.</x:v>
      </x:c>
      <x:c r="R48" s="180" t="str">
        <x:v>Downtime procedure, tabletop/simulation and clinical approval</x:v>
      </x:c>
      <x:c r="S48" s="179" t="str"/>
      <x:c r="T48" s="179" t="str"/>
      <x:c r="U48" s="179" t="str"/>
      <x:c r="V48" s="179" t="str"/>
    </x:row>
    <x:row r="49" ht="76" customHeight="1">
      <x:c r="A49" s="72" t="str">
        <x:v>EPI-007</x:v>
      </x:c>
      <x:c r="B49" s="72" t="str">
        <x:v>Epic / Clinical Interface</x:v>
      </x:c>
      <x:c r="C49" s="72" t="str">
        <x:v>Operability &amp; Observability</x:v>
      </x:c>
      <x:c r="D49" s="72" t="str">
        <x:v>Transaction traceability</x:v>
      </x:c>
      <x:c r="E49" s="72" t="str">
        <x:v>Can one transaction be traced across source, interface engine, gateway/vendor and Epic with actionable alerts?</x:v>
      </x:c>
      <x:c r="F49" s="72" t="str">
        <x:v>A failed clinical transaction remains invisible or cannot be reconciled promptly.</x:v>
      </x:c>
      <x:c r="G49" s="63" t="str">
        <x:v>C</x:v>
      </x:c>
      <x:c r="H49" s="63" t="str">
        <x:v>—</x:v>
      </x:c>
      <x:c r="I49" s="63" t="str">
        <x:v>C</x:v>
      </x:c>
      <x:c r="J49" s="63" t="str">
        <x:v>R</x:v>
      </x:c>
      <x:c r="K49" s="63" t="str">
        <x:v>—</x:v>
      </x:c>
      <x:c r="L49" s="63" t="str">
        <x:v>—</x:v>
      </x:c>
      <x:c r="M49" s="63" t="str">
        <x:v>—</x:v>
      </x:c>
      <x:c r="N49" s="63" t="str">
        <x:v>—</x:v>
      </x:c>
      <x:c r="O49" s="63" t="str">
        <x:v>—</x:v>
      </x:c>
      <x:c r="P49" s="72" t="str">
        <x:v>Multi-hop clinical transaction path.</x:v>
      </x:c>
      <x:c r="Q49" s="72" t="str">
        <x:v>No integration transaction.</x:v>
      </x:c>
      <x:c r="R49" s="72" t="str">
        <x:v>Correlation IDs, interface monitoring, alert routing and reconciliation queue</x:v>
      </x:c>
      <x:c r="S49" s="179" t="str"/>
      <x:c r="T49" s="179" t="str"/>
      <x:c r="U49" s="179" t="str"/>
      <x:c r="V49" s="179" t="str"/>
    </x:row>
    <x:row r="50" ht="76" customHeight="1">
      <x:c r="A50" s="180" t="str">
        <x:v>EPI-008</x:v>
      </x:c>
      <x:c r="B50" s="180" t="str">
        <x:v>Epic / Clinical Interface</x:v>
      </x:c>
      <x:c r="C50" s="180" t="str">
        <x:v>Changeability &amp; Release Safety</x:v>
      </x:c>
      <x:c r="D50" s="180" t="str">
        <x:v>Environment promotion</x:v>
      </x:c>
      <x:c r="E50" s="180" t="str">
        <x:v>Are build, configuration, test data, environment differences and promotion steps controlled across Epic and vendor environments?</x:v>
      </x:c>
      <x:c r="F50" s="180" t="str">
        <x:v>Testing does not represent production or a change cannot be reproduced/rolled back.</x:v>
      </x:c>
      <x:c r="G50" s="63" t="str">
        <x:v>—</x:v>
      </x:c>
      <x:c r="H50" s="63" t="str">
        <x:v>—</x:v>
      </x:c>
      <x:c r="I50" s="63" t="str">
        <x:v>C</x:v>
      </x:c>
      <x:c r="J50" s="63" t="str">
        <x:v>R</x:v>
      </x:c>
      <x:c r="K50" s="63" t="str">
        <x:v>C</x:v>
      </x:c>
      <x:c r="L50" s="63" t="str">
        <x:v>—</x:v>
      </x:c>
      <x:c r="M50" s="63" t="str">
        <x:v>—</x:v>
      </x:c>
      <x:c r="N50" s="63" t="str">
        <x:v>—</x:v>
      </x:c>
      <x:c r="O50" s="63" t="str">
        <x:v>—</x:v>
      </x:c>
      <x:c r="P50" s="180" t="str">
        <x:v>Interface has multiple environments or coordinated builds.</x:v>
      </x:c>
      <x:c r="Q50" s="180" t="str">
        <x:v>One-time data conversion with separate governed migration controls.</x:v>
      </x:c>
      <x:c r="R50" s="180" t="str">
        <x:v>Environment matrix, change package, test data approach and rollback</x:v>
      </x:c>
      <x:c r="S50" s="179" t="str"/>
      <x:c r="T50" s="179" t="str"/>
      <x:c r="U50" s="179" t="str"/>
      <x:c r="V50" s="179" t="str"/>
    </x:row>
    <x:row r="51" ht="76" customHeight="1">
      <x:c r="A51" s="72" t="str">
        <x:v>EPI-009</x:v>
      </x:c>
      <x:c r="B51" s="72" t="str">
        <x:v>Epic / Clinical Interface</x:v>
      </x:c>
      <x:c r="C51" s="72" t="str">
        <x:v>Changeability &amp; Release Safety</x:v>
      </x:c>
      <x:c r="D51" s="72" t="str">
        <x:v>Coordinated versioning</x:v>
      </x:c>
      <x:c r="E51" s="72" t="str">
        <x:v>Are Epic, interface-engine, vendor, device and terminology changes coordinated with compatibility and regression criteria?</x:v>
      </x:c>
      <x:c r="F51" s="72" t="str">
        <x:v>A change to one participant silently changes clinical meaning or breaks delivery.</x:v>
      </x:c>
      <x:c r="G51" s="63" t="str">
        <x:v>C</x:v>
      </x:c>
      <x:c r="H51" s="63" t="str">
        <x:v>—</x:v>
      </x:c>
      <x:c r="I51" s="63" t="str">
        <x:v>—</x:v>
      </x:c>
      <x:c r="J51" s="63" t="str">
        <x:v>R</x:v>
      </x:c>
      <x:c r="K51" s="63" t="str">
        <x:v>C</x:v>
      </x:c>
      <x:c r="L51" s="63" t="str">
        <x:v>—</x:v>
      </x:c>
      <x:c r="M51" s="63" t="str">
        <x:v>—</x:v>
      </x:c>
      <x:c r="N51" s="63" t="str">
        <x:v>—</x:v>
      </x:c>
      <x:c r="O51" s="63" t="str">
        <x:v>—</x:v>
      </x:c>
      <x:c r="P51" s="72" t="str">
        <x:v>Multiple independently versioned participants.</x:v>
      </x:c>
      <x:c r="Q51" s="72" t="str">
        <x:v>No material interface/version dependency.</x:v>
      </x:c>
      <x:c r="R51" s="72" t="str">
        <x:v>Compatibility matrix, release calendar and regression suite</x:v>
      </x:c>
      <x:c r="S51" s="179" t="str"/>
      <x:c r="T51" s="179" t="str"/>
      <x:c r="U51" s="179" t="str"/>
      <x:c r="V51" s="179" t="str"/>
    </x:row>
    <x:row r="52" ht="76" customHeight="1">
      <x:c r="A52" s="180" t="str">
        <x:v>EPI-010</x:v>
      </x:c>
      <x:c r="B52" s="180" t="str">
        <x:v>Epic / Clinical Interface</x:v>
      </x:c>
      <x:c r="C52" s="180" t="str">
        <x:v>Clinical Safety &amp; Human Factors</x:v>
      </x:c>
      <x:c r="D52" s="180" t="str">
        <x:v>Clinical acceptance</x:v>
      </x:c>
      <x:c r="E52" s="180" t="str">
        <x:v>Are corrected/cancelled results, duplicates, exceptions, PDFs/documents, units and display behavior validated by an accountable clinical owner?</x:v>
      </x:c>
      <x:c r="F52" s="180" t="str">
        <x:v>Technically valid data is clinically misleading, incomplete or not acted upon.</x:v>
      </x:c>
      <x:c r="G52" s="63" t="str">
        <x:v>C</x:v>
      </x:c>
      <x:c r="H52" s="63" t="str">
        <x:v>—</x:v>
      </x:c>
      <x:c r="I52" s="63" t="str">
        <x:v>—</x:v>
      </x:c>
      <x:c r="J52" s="63" t="str">
        <x:v>R</x:v>
      </x:c>
      <x:c r="K52" s="63" t="str">
        <x:v>—</x:v>
      </x:c>
      <x:c r="L52" s="63" t="str">
        <x:v>—</x:v>
      </x:c>
      <x:c r="M52" s="63" t="str">
        <x:v>—</x:v>
      </x:c>
      <x:c r="N52" s="63" t="str">
        <x:v>—</x:v>
      </x:c>
      <x:c r="O52" s="63" t="str">
        <x:v>—</x:v>
      </x:c>
      <x:c r="P52" s="180" t="str">
        <x:v>Results, orders, measurements, documents or clinical alerts are exchanged.</x:v>
      </x:c>
      <x:c r="Q52" s="180" t="str">
        <x:v>Administrative-only interface with no clinical interpretation.</x:v>
      </x:c>
      <x:c r="R52" s="180" t="str">
        <x:v>Clinical acceptance plan, test evidence and sign-off</x:v>
      </x:c>
      <x:c r="S52" s="179" t="str"/>
      <x:c r="T52" s="179" t="str"/>
      <x:c r="U52" s="179" t="str"/>
      <x:c r="V52" s="179" t="str"/>
    </x:row>
    <x:row r="53" ht="76" customHeight="1">
      <x:c r="A53" s="72" t="str">
        <x:v>ONP-001</x:v>
      </x:c>
      <x:c r="B53" s="72" t="str">
        <x:v>On-Prem COTS</x:v>
      </x:c>
      <x:c r="C53" s="72" t="str">
        <x:v>Platform Engineering</x:v>
      </x:c>
      <x:c r="D53" s="72" t="str">
        <x:v>Hosting pattern</x:v>
      </x:c>
      <x:c r="E53" s="72" t="str">
        <x:v>Is the server, database, runtime, storage and network topology supported by both the vendor and enterprise baseline?</x:v>
      </x:c>
      <x:c r="F53" s="72" t="str">
        <x:v>A bespoke or unsupported topology cannot be patched, scaled or recovered reliably.</x:v>
      </x:c>
      <x:c r="G53" s="63" t="str">
        <x:v>C</x:v>
      </x:c>
      <x:c r="H53" s="63" t="str">
        <x:v>—</x:v>
      </x:c>
      <x:c r="I53" s="63" t="str">
        <x:v>—</x:v>
      </x:c>
      <x:c r="J53" s="63" t="str">
        <x:v>C</x:v>
      </x:c>
      <x:c r="K53" s="63" t="str">
        <x:v>R</x:v>
      </x:c>
      <x:c r="L53" s="63" t="str">
        <x:v>—</x:v>
      </x:c>
      <x:c r="M53" s="63" t="str">
        <x:v>—</x:v>
      </x:c>
      <x:c r="N53" s="63" t="str">
        <x:v>—</x:v>
      </x:c>
      <x:c r="O53" s="63" t="str">
        <x:v>—</x:v>
      </x:c>
      <x:c r="P53" s="72" t="str">
        <x:v>Customer-hosted vendor software, gateway, appliance or client/server application.</x:v>
      </x:c>
      <x:c r="Q53" s="72" t="str">
        <x:v>Fully vendor-hosted SaaS with no local components.</x:v>
      </x:c>
      <x:c r="R53" s="72" t="str">
        <x:v>Deployment guide, build standard, topology and support statement</x:v>
      </x:c>
      <x:c r="S53" s="179" t="str"/>
      <x:c r="T53" s="179" t="str"/>
      <x:c r="U53" s="179" t="str"/>
      <x:c r="V53" s="179" t="str"/>
    </x:row>
    <x:row r="54" ht="76" customHeight="1">
      <x:c r="A54" s="180" t="str">
        <x:v>ONP-002</x:v>
      </x:c>
      <x:c r="B54" s="180" t="str">
        <x:v>On-Prem COTS</x:v>
      </x:c>
      <x:c r="C54" s="180" t="str">
        <x:v>Identity Architecture</x:v>
      </x:c>
      <x:c r="D54" s="180" t="str">
        <x:v>Local/service identities</x:v>
      </x:c>
      <x:c r="E54" s="180" t="str">
        <x:v>Are application, service, database and administrator identities integrated or governed with least privilege and lifecycle ownership?</x:v>
      </x:c>
      <x:c r="F54" s="180" t="str">
        <x:v>Local or shared identities become stale, overprivileged or unauditable.</x:v>
      </x:c>
      <x:c r="G54" s="63" t="str">
        <x:v>C</x:v>
      </x:c>
      <x:c r="H54" s="63" t="str">
        <x:v>—</x:v>
      </x:c>
      <x:c r="I54" s="63" t="str">
        <x:v>—</x:v>
      </x:c>
      <x:c r="J54" s="63" t="str">
        <x:v>—</x:v>
      </x:c>
      <x:c r="K54" s="63" t="str">
        <x:v>R</x:v>
      </x:c>
      <x:c r="L54" s="63" t="str">
        <x:v>—</x:v>
      </x:c>
      <x:c r="M54" s="63" t="str">
        <x:v>—</x:v>
      </x:c>
      <x:c r="N54" s="63" t="str">
        <x:v>—</x:v>
      </x:c>
      <x:c r="O54" s="63" t="str">
        <x:v>—</x:v>
      </x:c>
      <x:c r="P54" s="180" t="str">
        <x:v>Local accounts, service accounts or admin interfaces exist.</x:v>
      </x:c>
      <x:c r="Q54" s="180" t="str">
        <x:v>No local identity store or managed service identity.</x:v>
      </x:c>
      <x:c r="R54" s="180" t="str">
        <x:v>Account inventory, role matrix, vaulting/JML design and audit logs</x:v>
      </x:c>
      <x:c r="S54" s="179" t="str"/>
      <x:c r="T54" s="179" t="str"/>
      <x:c r="U54" s="179" t="str"/>
      <x:c r="V54" s="179" t="str"/>
    </x:row>
    <x:row r="55" ht="76" customHeight="1">
      <x:c r="A55" s="72" t="str">
        <x:v>ONP-003</x:v>
      </x:c>
      <x:c r="B55" s="72" t="str">
        <x:v>On-Prem COTS</x:v>
      </x:c>
      <x:c r="C55" s="72" t="str">
        <x:v>Security Architecture</x:v>
      </x:c>
      <x:c r="D55" s="72" t="str">
        <x:v>Certificates and secrets</x:v>
      </x:c>
      <x:c r="E55" s="72" t="str">
        <x:v>Are certificates, keys, secrets, connection strings and secrets centrally issued, inventoried, rotated and monitored?</x:v>
      </x:c>
      <x:c r="F55" s="72" t="str">
        <x:v>Manual expiration or unmanaged secrets cause outage or compromise.</x:v>
      </x:c>
      <x:c r="G55" s="63" t="str">
        <x:v>C</x:v>
      </x:c>
      <x:c r="H55" s="63" t="str">
        <x:v>—</x:v>
      </x:c>
      <x:c r="I55" s="63" t="str">
        <x:v>—</x:v>
      </x:c>
      <x:c r="J55" s="63" t="str">
        <x:v>C</x:v>
      </x:c>
      <x:c r="K55" s="63" t="str">
        <x:v>R</x:v>
      </x:c>
      <x:c r="L55" s="63" t="str">
        <x:v>—</x:v>
      </x:c>
      <x:c r="M55" s="63" t="str">
        <x:v>—</x:v>
      </x:c>
      <x:c r="N55" s="63" t="str">
        <x:v>—</x:v>
      </x:c>
      <x:c r="O55" s="63" t="str">
        <x:v>—</x:v>
      </x:c>
      <x:c r="P55" s="72" t="str">
        <x:v>Local TLS, service credentials or encryption keys are required.</x:v>
      </x:c>
      <x:c r="Q55" s="72" t="str">
        <x:v>No customer-managed certificates/secrets.</x:v>
      </x:c>
      <x:c r="R55" s="72" t="str">
        <x:v>Certificate/secret inventory, trust design, renewal test and ownership</x:v>
      </x:c>
      <x:c r="S55" s="179" t="str"/>
      <x:c r="T55" s="179" t="str"/>
      <x:c r="U55" s="179" t="str"/>
      <x:c r="V55" s="179" t="str"/>
    </x:row>
    <x:row r="56" ht="76" customHeight="1">
      <x:c r="A56" s="180" t="str">
        <x:v>ONP-004</x:v>
      </x:c>
      <x:c r="B56" s="180" t="str">
        <x:v>On-Prem COTS</x:v>
      </x:c>
      <x:c r="C56" s="180" t="str">
        <x:v>Platform Engineering &amp; Lifecycle</x:v>
      </x:c>
      <x:c r="D56" s="180" t="str">
        <x:v>Compatibility matrix</x:v>
      </x:c>
      <x:c r="E56" s="180" t="str">
        <x:v>Are exact versions and supported combinations defined for OS, database, runtime, middleware, agent and application?</x:v>
      </x:c>
      <x:c r="F56" s="180" t="str">
        <x:v>Necessary patching is delayed or one upgrade breaks another dependency.</x:v>
      </x:c>
      <x:c r="G56" s="63" t="str">
        <x:v>C</x:v>
      </x:c>
      <x:c r="H56" s="63" t="str">
        <x:v>—</x:v>
      </x:c>
      <x:c r="I56" s="63" t="str">
        <x:v>—</x:v>
      </x:c>
      <x:c r="J56" s="63" t="str">
        <x:v>C</x:v>
      </x:c>
      <x:c r="K56" s="63" t="str">
        <x:v>R</x:v>
      </x:c>
      <x:c r="L56" s="63" t="str">
        <x:v>—</x:v>
      </x:c>
      <x:c r="M56" s="63" t="str">
        <x:v>—</x:v>
      </x:c>
      <x:c r="N56" s="63" t="str">
        <x:v>—</x:v>
      </x:c>
      <x:c r="O56" s="63" t="str">
        <x:v>—</x:v>
      </x:c>
      <x:c r="P56" s="180" t="str">
        <x:v>Solution includes multiple customer-managed software dependencies.</x:v>
      </x:c>
      <x:c r="Q56" s="180" t="str">
        <x:v>Single managed appliance with vendor-controlled immutable stack and evidenced lifecycle.</x:v>
      </x:c>
      <x:c r="R56" s="180" t="str">
        <x:v>Component inventory, support dates, compatibility matrix and patch sequence</x:v>
      </x:c>
      <x:c r="S56" s="179" t="str"/>
      <x:c r="T56" s="179" t="str"/>
      <x:c r="U56" s="179" t="str"/>
      <x:c r="V56" s="179" t="str"/>
    </x:row>
    <x:row r="57" ht="76" customHeight="1">
      <x:c r="A57" s="72" t="str">
        <x:v>ONP-005</x:v>
      </x:c>
      <x:c r="B57" s="72" t="str">
        <x:v>On-Prem COTS</x:v>
      </x:c>
      <x:c r="C57" s="72" t="str">
        <x:v>Availability &amp; Recoverability</x:v>
      </x:c>
      <x:c r="D57" s="72" t="str">
        <x:v>Whole-service restore</x:v>
      </x:c>
      <x:c r="E57" s="72" t="str">
        <x:v>Can the complete service—configuration, database, certificates, interfaces and validation—be restored in dependency order?</x:v>
      </x:c>
      <x:c r="F57" s="72" t="str">
        <x:v>Restoring a VM or database does not restore a usable business/clinical service.</x:v>
      </x:c>
      <x:c r="G57" s="63" t="str">
        <x:v>C</x:v>
      </x:c>
      <x:c r="H57" s="63" t="str">
        <x:v>—</x:v>
      </x:c>
      <x:c r="I57" s="63" t="str">
        <x:v>—</x:v>
      </x:c>
      <x:c r="J57" s="63" t="str">
        <x:v>C</x:v>
      </x:c>
      <x:c r="K57" s="63" t="str">
        <x:v>R</x:v>
      </x:c>
      <x:c r="L57" s="63" t="str">
        <x:v>—</x:v>
      </x:c>
      <x:c r="M57" s="63" t="str">
        <x:v>—</x:v>
      </x:c>
      <x:c r="N57" s="63" t="str">
        <x:v>—</x:v>
      </x:c>
      <x:c r="O57" s="63" t="str">
        <x:v>—</x:v>
      </x:c>
      <x:c r="P57" s="72" t="str">
        <x:v>Local persistent service with recovery requirement.</x:v>
      </x:c>
      <x:c r="Q57" s="72" t="str">
        <x:v>Stateless/rebuildable local component with no persistent configuration and documented automation.</x:v>
      </x:c>
      <x:c r="R57" s="72" t="str">
        <x:v>Backup scope, rebuild runbook, restore test and workflow validation</x:v>
      </x:c>
      <x:c r="S57" s="179" t="str"/>
      <x:c r="T57" s="179" t="str"/>
      <x:c r="U57" s="179" t="str"/>
      <x:c r="V57" s="179" t="str"/>
    </x:row>
    <x:row r="58" ht="76" customHeight="1">
      <x:c r="A58" s="180" t="str">
        <x:v>ONP-006</x:v>
      </x:c>
      <x:c r="B58" s="180" t="str">
        <x:v>On-Prem COTS</x:v>
      </x:c>
      <x:c r="C58" s="180" t="str">
        <x:v>Availability &amp; Fault Containment</x:v>
      </x:c>
      <x:c r="D58" s="180" t="str">
        <x:v>High availability</x:v>
      </x:c>
      <x:c r="E58" s="180" t="str">
        <x:v>Does the supported product topology meet required availability, and are unsupported clustering assumptions avoided?</x:v>
      </x:c>
      <x:c r="F58" s="180" t="str">
        <x:v>A single server/service/database fails beyond business tolerance or unsupported HA corrupts supportability.</x:v>
      </x:c>
      <x:c r="G58" s="63" t="str">
        <x:v>C</x:v>
      </x:c>
      <x:c r="H58" s="63" t="str">
        <x:v>—</x:v>
      </x:c>
      <x:c r="I58" s="63" t="str">
        <x:v>—</x:v>
      </x:c>
      <x:c r="J58" s="63" t="str">
        <x:v>—</x:v>
      </x:c>
      <x:c r="K58" s="63" t="str">
        <x:v>R</x:v>
      </x:c>
      <x:c r="L58" s="63" t="str">
        <x:v>—</x:v>
      </x:c>
      <x:c r="M58" s="63" t="str">
        <x:v>—</x:v>
      </x:c>
      <x:c r="N58" s="63" t="str">
        <x:v>—</x:v>
      </x:c>
      <x:c r="O58" s="63" t="str">
        <x:v>—</x:v>
      </x:c>
      <x:c r="P58" s="180" t="str">
        <x:v>Outage tolerance requires redundancy or rapid recovery.</x:v>
      </x:c>
      <x:c r="Q58" s="180" t="str">
        <x:v>Documented tolerance accepts a single instance with tested recovery/downtime.</x:v>
      </x:c>
      <x:c r="R58" s="180" t="str">
        <x:v>Vendor HA statement, failure-mode test, recovery objectives and ADR</x:v>
      </x:c>
      <x:c r="S58" s="179" t="str"/>
      <x:c r="T58" s="179" t="str"/>
      <x:c r="U58" s="179" t="str"/>
      <x:c r="V58" s="179" t="str"/>
    </x:row>
    <x:row r="59" ht="76" customHeight="1">
      <x:c r="A59" s="72" t="str">
        <x:v>ONP-007</x:v>
      </x:c>
      <x:c r="B59" s="72" t="str">
        <x:v>On-Prem COTS</x:v>
      </x:c>
      <x:c r="C59" s="72" t="str">
        <x:v>Performance &amp; Capacity</x:v>
      </x:c>
      <x:c r="D59" s="72" t="str">
        <x:v>Resource growth</x:v>
      </x:c>
      <x:c r="E59" s="72" t="str">
        <x:v>Are CPU, memory, storage, database growth, queue depth and maintenance-window requirements sized and monitored?</x:v>
      </x:c>
      <x:c r="F59" s="72" t="str">
        <x:v>Local capacity exhaustion causes outage, data loss or failed maintenance.</x:v>
      </x:c>
      <x:c r="G59" s="63" t="str">
        <x:v>C</x:v>
      </x:c>
      <x:c r="H59" s="63" t="str">
        <x:v>—</x:v>
      </x:c>
      <x:c r="I59" s="63" t="str">
        <x:v>—</x:v>
      </x:c>
      <x:c r="J59" s="63" t="str">
        <x:v>C</x:v>
      </x:c>
      <x:c r="K59" s="63" t="str">
        <x:v>R</x:v>
      </x:c>
      <x:c r="L59" s="63" t="str">
        <x:v>—</x:v>
      </x:c>
      <x:c r="M59" s="63" t="str">
        <x:v>—</x:v>
      </x:c>
      <x:c r="N59" s="63" t="str">
        <x:v>—</x:v>
      </x:c>
      <x:c r="O59" s="63" t="str">
        <x:v>—</x:v>
      </x:c>
      <x:c r="P59" s="72" t="str">
        <x:v>Customer provides finite compute/storage resources.</x:v>
      </x:c>
      <x:c r="Q59" s="72" t="str">
        <x:v>No persistent/customer-managed resource footprint.</x:v>
      </x:c>
      <x:c r="R59" s="72" t="str">
        <x:v>Sizing guide, workload model, thresholds and capacity plan</x:v>
      </x:c>
      <x:c r="S59" s="179" t="str"/>
      <x:c r="T59" s="179" t="str"/>
      <x:c r="U59" s="179" t="str"/>
      <x:c r="V59" s="179" t="str"/>
    </x:row>
    <x:row r="60" ht="76" customHeight="1">
      <x:c r="A60" s="180" t="str">
        <x:v>ONP-008</x:v>
      </x:c>
      <x:c r="B60" s="180" t="str">
        <x:v>On-Prem COTS</x:v>
      </x:c>
      <x:c r="C60" s="180" t="str">
        <x:v>Operability &amp; Support</x:v>
      </x:c>
      <x:c r="D60" s="180" t="str">
        <x:v>Remote support boundary</x:v>
      </x:c>
      <x:c r="E60" s="180" t="str">
        <x:v>Is vendor support access time-bound, monitored and technically separated from standing production administration?</x:v>
      </x:c>
      <x:c r="F60" s="180" t="str">
        <x:v>Support creates unmonitored privileged access or delays incident restoration.</x:v>
      </x:c>
      <x:c r="G60" s="63" t="str">
        <x:v>C</x:v>
      </x:c>
      <x:c r="H60" s="63" t="str">
        <x:v>—</x:v>
      </x:c>
      <x:c r="I60" s="63" t="str">
        <x:v>—</x:v>
      </x:c>
      <x:c r="J60" s="63" t="str">
        <x:v>—</x:v>
      </x:c>
      <x:c r="K60" s="63" t="str">
        <x:v>R</x:v>
      </x:c>
      <x:c r="L60" s="63" t="str">
        <x:v>—</x:v>
      </x:c>
      <x:c r="M60" s="63" t="str">
        <x:v>—</x:v>
      </x:c>
      <x:c r="N60" s="63" t="str">
        <x:v>—</x:v>
      </x:c>
      <x:c r="O60" s="63" t="str">
        <x:v>—</x:v>
      </x:c>
      <x:c r="P60" s="180" t="str">
        <x:v>Vendor may access or direct changes to local production components.</x:v>
      </x:c>
      <x:c r="Q60" s="180" t="str">
        <x:v>Vendor has no access and support requires no privileged interaction.</x:v>
      </x:c>
      <x:c r="R60" s="180" t="str">
        <x:v>Remote support design, approvals, logs, contract terms and support runbook</x:v>
      </x:c>
      <x:c r="S60" s="179" t="str"/>
      <x:c r="T60" s="179" t="str"/>
      <x:c r="U60" s="179" t="str"/>
      <x:c r="V60" s="179" t="str"/>
    </x:row>
    <x:row r="61" ht="76" customHeight="1">
      <x:c r="A61" s="72" t="str">
        <x:v>CLD-001</x:v>
      </x:c>
      <x:c r="B61" s="72" t="str">
        <x:v>Cloud / API</x:v>
      </x:c>
      <x:c r="C61" s="72" t="str">
        <x:v>Cloud Foundation</x:v>
      </x:c>
      <x:c r="D61" s="72" t="str">
        <x:v>Landing zone</x:v>
      </x:c>
      <x:c r="E61" s="72" t="str">
        <x:v>Are account/subscription, region, network, identity, logging, policy and encryption controls inherited from an approved landing zone?</x:v>
      </x:c>
      <x:c r="F61" s="72" t="str">
        <x:v>A workload is deployed outside enterprise guardrails and cannot be governed consistently.</x:v>
      </x:c>
      <x:c r="G61" s="63" t="str">
        <x:v>—</x:v>
      </x:c>
      <x:c r="H61" s="63" t="str">
        <x:v>C</x:v>
      </x:c>
      <x:c r="I61" s="63" t="str">
        <x:v>—</x:v>
      </x:c>
      <x:c r="J61" s="63" t="str">
        <x:v>—</x:v>
      </x:c>
      <x:c r="K61" s="63" t="str">
        <x:v>—</x:v>
      </x:c>
      <x:c r="L61" s="63" t="str">
        <x:v>R</x:v>
      </x:c>
      <x:c r="M61" s="63" t="str">
        <x:v>C</x:v>
      </x:c>
      <x:c r="N61" s="63" t="str">
        <x:v>C</x:v>
      </x:c>
      <x:c r="O61" s="63" t="str">
        <x:v>—</x:v>
      </x:c>
      <x:c r="P61" s="72" t="str">
        <x:v>Customer-managed public-cloud workload or service.</x:v>
      </x:c>
      <x:c r="Q61" s="72" t="str">
        <x:v>Vendor-hosted SaaS with no customer cloud account/control plane.</x:v>
      </x:c>
      <x:c r="R61" s="72" t="str">
        <x:v>Landing-zone evidence, account topology, policy assignments and responsibility map</x:v>
      </x:c>
      <x:c r="S61" s="179" t="str"/>
      <x:c r="T61" s="179" t="str"/>
      <x:c r="U61" s="179" t="str"/>
      <x:c r="V61" s="179" t="str"/>
    </x:row>
    <x:row r="62" ht="76" customHeight="1">
      <x:c r="A62" s="180" t="str">
        <x:v>CLD-002</x:v>
      </x:c>
      <x:c r="B62" s="180" t="str">
        <x:v>Cloud / API</x:v>
      </x:c>
      <x:c r="C62" s="180" t="str">
        <x:v>Identity Architecture</x:v>
      </x:c>
      <x:c r="D62" s="180" t="str">
        <x:v>Workload identity</x:v>
      </x:c>
      <x:c r="E62" s="180" t="str">
        <x:v>Are human, workload, pipeline and break-glass identities separated and least-privileged across cloud control/data planes?</x:v>
      </x:c>
      <x:c r="F62" s="180" t="str">
        <x:v>Compromised credentials permit broad control-plane or data access.</x:v>
      </x:c>
      <x:c r="G62" s="63" t="str">
        <x:v>—</x:v>
      </x:c>
      <x:c r="H62" s="63" t="str">
        <x:v>—</x:v>
      </x:c>
      <x:c r="I62" s="63" t="str">
        <x:v>—</x:v>
      </x:c>
      <x:c r="J62" s="63" t="str">
        <x:v>—</x:v>
      </x:c>
      <x:c r="K62" s="63" t="str">
        <x:v>—</x:v>
      </x:c>
      <x:c r="L62" s="63" t="str">
        <x:v>R</x:v>
      </x:c>
      <x:c r="M62" s="63" t="str">
        <x:v>C</x:v>
      </x:c>
      <x:c r="N62" s="63" t="str">
        <x:v>C</x:v>
      </x:c>
      <x:c r="O62" s="63" t="str">
        <x:v>—</x:v>
      </x:c>
      <x:c r="P62" s="180" t="str">
        <x:v>Customer controls cloud resources, pipelines or APIs.</x:v>
      </x:c>
      <x:c r="Q62" s="180" t="str">
        <x:v>No customer cloud identity/control plane.</x:v>
      </x:c>
      <x:c r="R62" s="180" t="str">
        <x:v>IAM model, role assignments, managed identity design and access review</x:v>
      </x:c>
      <x:c r="S62" s="179" t="str"/>
      <x:c r="T62" s="179" t="str"/>
      <x:c r="U62" s="179" t="str"/>
      <x:c r="V62" s="179" t="str"/>
    </x:row>
    <x:row r="63" ht="76" customHeight="1">
      <x:c r="A63" s="72" t="str">
        <x:v>CLD-003</x:v>
      </x:c>
      <x:c r="B63" s="72" t="str">
        <x:v>Cloud / API</x:v>
      </x:c>
      <x:c r="C63" s="72" t="str">
        <x:v>Network Architecture</x:v>
      </x:c>
      <x:c r="D63" s="72" t="str">
        <x:v>Private connectivity and egress</x:v>
      </x:c>
      <x:c r="E63" s="72" t="str">
        <x:v>Are ingress, egress, private endpoints, DNS, service endpoints and administrative paths intentionally controlled?</x:v>
      </x:c>
      <x:c r="F63" s="72" t="str">
        <x:v>Unrestricted egress or public exposure bypasses expected boundary controls.</x:v>
      </x:c>
      <x:c r="G63" s="63" t="str">
        <x:v>—</x:v>
      </x:c>
      <x:c r="H63" s="63" t="str">
        <x:v>—</x:v>
      </x:c>
      <x:c r="I63" s="63" t="str">
        <x:v>—</x:v>
      </x:c>
      <x:c r="J63" s="63" t="str">
        <x:v>—</x:v>
      </x:c>
      <x:c r="K63" s="63" t="str">
        <x:v>—</x:v>
      </x:c>
      <x:c r="L63" s="63" t="str">
        <x:v>R</x:v>
      </x:c>
      <x:c r="M63" s="63" t="str">
        <x:v>C</x:v>
      </x:c>
      <x:c r="N63" s="63" t="str">
        <x:v>C</x:v>
      </x:c>
      <x:c r="O63" s="63" t="str">
        <x:v>—</x:v>
      </x:c>
      <x:c r="P63" s="72" t="str">
        <x:v>Cloud service communicates with internet, enterprise or other services.</x:v>
      </x:c>
      <x:c r="Q63" s="72" t="str">
        <x:v>No networked cloud workload.</x:v>
      </x:c>
      <x:c r="R63" s="72" t="str">
        <x:v>Network diagram, flow matrix, DNS design and egress policy</x:v>
      </x:c>
      <x:c r="S63" s="179" t="str"/>
      <x:c r="T63" s="179" t="str"/>
      <x:c r="U63" s="179" t="str"/>
      <x:c r="V63" s="179" t="str"/>
    </x:row>
    <x:row r="64" ht="76" customHeight="1">
      <x:c r="A64" s="180" t="str">
        <x:v>CLD-004</x:v>
      </x:c>
      <x:c r="B64" s="180" t="str">
        <x:v>Cloud / API</x:v>
      </x:c>
      <x:c r="C64" s="180" t="str">
        <x:v>Integration Architecture</x:v>
      </x:c>
      <x:c r="D64" s="180" t="str">
        <x:v>API behavior</x:v>
      </x:c>
      <x:c r="E64" s="180" t="str">
        <x:v>Are contracts, authentication, quotas, rate limits, idempotency, retries, pagination and versioning explicit?</x:v>
      </x:c>
      <x:c r="F64" s="180" t="str">
        <x:v>Clients create duplicate work, fail under throttling or break on incompatible change.</x:v>
      </x:c>
      <x:c r="G64" s="63" t="str">
        <x:v>—</x:v>
      </x:c>
      <x:c r="H64" s="63" t="str">
        <x:v>C</x:v>
      </x:c>
      <x:c r="I64" s="63" t="str">
        <x:v>C</x:v>
      </x:c>
      <x:c r="J64" s="63" t="str">
        <x:v>C</x:v>
      </x:c>
      <x:c r="K64" s="63" t="str">
        <x:v>—</x:v>
      </x:c>
      <x:c r="L64" s="63" t="str">
        <x:v>R</x:v>
      </x:c>
      <x:c r="M64" s="63" t="str">
        <x:v>—</x:v>
      </x:c>
      <x:c r="N64" s="63" t="str">
        <x:v>—</x:v>
      </x:c>
      <x:c r="O64" s="63" t="str">
        <x:v>—</x:v>
      </x:c>
      <x:c r="P64" s="180" t="str">
        <x:v>Solution exposes or consumes an API/webhook/event.</x:v>
      </x:c>
      <x:c r="Q64" s="180" t="str">
        <x:v>No API/event interface.</x:v>
      </x:c>
      <x:c r="R64" s="180" t="str">
        <x:v>OpenAPI/event contract, sequence diagrams, quota plan and negative tests</x:v>
      </x:c>
      <x:c r="S64" s="179" t="str"/>
      <x:c r="T64" s="179" t="str"/>
      <x:c r="U64" s="179" t="str"/>
      <x:c r="V64" s="179" t="str"/>
    </x:row>
    <x:row r="65" ht="76" customHeight="1">
      <x:c r="A65" s="72" t="str">
        <x:v>CLD-005</x:v>
      </x:c>
      <x:c r="B65" s="72" t="str">
        <x:v>Cloud / API</x:v>
      </x:c>
      <x:c r="C65" s="72" t="str">
        <x:v>Availability &amp; Resilience</x:v>
      </x:c>
      <x:c r="D65" s="72" t="str">
        <x:v>Managed-service dependency</x:v>
      </x:c>
      <x:c r="E65" s="72" t="str">
        <x:v>Do zone/region architecture, managed-service limits and failover/rebuild patterns meet the service objectives?</x:v>
      </x:c>
      <x:c r="F65" s="72" t="str">
        <x:v>A regional/service dependency causes prolonged outage or inconsistent recovery.</x:v>
      </x:c>
      <x:c r="G65" s="63" t="str">
        <x:v>—</x:v>
      </x:c>
      <x:c r="H65" s="63" t="str">
        <x:v>—</x:v>
      </x:c>
      <x:c r="I65" s="63" t="str">
        <x:v>—</x:v>
      </x:c>
      <x:c r="J65" s="63" t="str">
        <x:v>—</x:v>
      </x:c>
      <x:c r="K65" s="63" t="str">
        <x:v>—</x:v>
      </x:c>
      <x:c r="L65" s="63" t="str">
        <x:v>R</x:v>
      </x:c>
      <x:c r="M65" s="63" t="str">
        <x:v>C</x:v>
      </x:c>
      <x:c r="N65" s="63" t="str">
        <x:v>C</x:v>
      </x:c>
      <x:c r="O65" s="63" t="str">
        <x:v>—</x:v>
      </x:c>
      <x:c r="P65" s="72" t="str">
        <x:v>Customer-managed cloud service has material availability requirements.</x:v>
      </x:c>
      <x:c r="Q65" s="72" t="str">
        <x:v>Noncritical ephemeral workload with defined redeploy tolerance.</x:v>
      </x:c>
      <x:c r="R65" s="72" t="str">
        <x:v>Resilience design, service limits, recovery tests and regional decision</x:v>
      </x:c>
      <x:c r="S65" s="179" t="str"/>
      <x:c r="T65" s="179" t="str"/>
      <x:c r="U65" s="179" t="str"/>
      <x:c r="V65" s="179" t="str"/>
    </x:row>
    <x:row r="66" ht="76" customHeight="1">
      <x:c r="A66" s="180" t="str">
        <x:v>CLD-006</x:v>
      </x:c>
      <x:c r="B66" s="180" t="str">
        <x:v>Cloud / API</x:v>
      </x:c>
      <x:c r="C66" s="180" t="str">
        <x:v>Platform Engineering</x:v>
      </x:c>
      <x:c r="D66" s="180" t="str">
        <x:v>Infrastructure as code</x:v>
      </x:c>
      <x:c r="E66" s="180" t="str">
        <x:v>Are infrastructure, policy, configuration and secrets reproducible, reviewed and protected from drift?</x:v>
      </x:c>
      <x:c r="F66" s="180" t="str">
        <x:v>Manual drift creates inconsistent controls or unrecoverable environments.</x:v>
      </x:c>
      <x:c r="G66" s="63" t="str">
        <x:v>—</x:v>
      </x:c>
      <x:c r="H66" s="63" t="str">
        <x:v>—</x:v>
      </x:c>
      <x:c r="I66" s="63" t="str">
        <x:v>—</x:v>
      </x:c>
      <x:c r="J66" s="63" t="str">
        <x:v>—</x:v>
      </x:c>
      <x:c r="K66" s="63" t="str">
        <x:v>—</x:v>
      </x:c>
      <x:c r="L66" s="63" t="str">
        <x:v>R</x:v>
      </x:c>
      <x:c r="M66" s="63" t="str">
        <x:v>C</x:v>
      </x:c>
      <x:c r="N66" s="63" t="str">
        <x:v>—</x:v>
      </x:c>
      <x:c r="O66" s="63" t="str">
        <x:v>C</x:v>
      </x:c>
      <x:c r="P66" s="180" t="str">
        <x:v>Customer provisions or configures cloud resources.</x:v>
      </x:c>
      <x:c r="Q66" s="180" t="str">
        <x:v>No customer-managed infrastructure/configuration.</x:v>
      </x:c>
      <x:c r="R66" s="180" t="str">
        <x:v>IaC repository, pipeline controls, drift detection and rebuild test</x:v>
      </x:c>
      <x:c r="S66" s="179" t="str"/>
      <x:c r="T66" s="179" t="str"/>
      <x:c r="U66" s="179" t="str"/>
      <x:c r="V66" s="179" t="str"/>
    </x:row>
    <x:row r="67" ht="76" customHeight="1">
      <x:c r="A67" s="72" t="str">
        <x:v>CLD-007</x:v>
      </x:c>
      <x:c r="B67" s="72" t="str">
        <x:v>Cloud / API</x:v>
      </x:c>
      <x:c r="C67" s="72" t="str">
        <x:v>Operability &amp; Observability</x:v>
      </x:c>
      <x:c r="D67" s="72" t="str">
        <x:v>Distributed tracing</x:v>
      </x:c>
      <x:c r="E67" s="72" t="str">
        <x:v>Can logs, metrics, traces and business transactions be correlated across services and external dependencies?</x:v>
      </x:c>
      <x:c r="F67" s="72" t="str">
        <x:v>Partial failure is invisible and incident isolation is slow.</x:v>
      </x:c>
      <x:c r="G67" s="63" t="str">
        <x:v>—</x:v>
      </x:c>
      <x:c r="H67" s="63" t="str">
        <x:v>C</x:v>
      </x:c>
      <x:c r="I67" s="63" t="str">
        <x:v>—</x:v>
      </x:c>
      <x:c r="J67" s="63" t="str">
        <x:v>—</x:v>
      </x:c>
      <x:c r="K67" s="63" t="str">
        <x:v>—</x:v>
      </x:c>
      <x:c r="L67" s="63" t="str">
        <x:v>R</x:v>
      </x:c>
      <x:c r="M67" s="63" t="str">
        <x:v>C</x:v>
      </x:c>
      <x:c r="N67" s="63" t="str">
        <x:v>C</x:v>
      </x:c>
      <x:c r="O67" s="63" t="str">
        <x:v>—</x:v>
      </x:c>
      <x:c r="P67" s="72" t="str">
        <x:v>Distributed service/API/event architecture.</x:v>
      </x:c>
      <x:c r="Q67" s="72" t="str">
        <x:v>Single non-distributed function with adequate scoped monitoring.</x:v>
      </x:c>
      <x:c r="R67" s="72" t="str">
        <x:v>Telemetry architecture, trace propagation, SLOs and alert tests</x:v>
      </x:c>
      <x:c r="S67" s="179" t="str"/>
      <x:c r="T67" s="179" t="str"/>
      <x:c r="U67" s="179" t="str"/>
      <x:c r="V67" s="179" t="str"/>
    </x:row>
    <x:row r="68" ht="76" customHeight="1">
      <x:c r="A68" s="180" t="str">
        <x:v>CLD-008</x:v>
      </x:c>
      <x:c r="B68" s="180" t="str">
        <x:v>Cloud / API</x:v>
      </x:c>
      <x:c r="C68" s="180" t="str">
        <x:v>Performance, Capacity &amp; FinOps</x:v>
      </x:c>
      <x:c r="D68" s="180" t="str">
        <x:v>Elasticity guardrails</x:v>
      </x:c>
      <x:c r="E68" s="180" t="str">
        <x:v>Are scaling limits, quotas, cost controls, throttling and denial-of-wallet scenarios designed?</x:v>
      </x:c>
      <x:c r="F68" s="180" t="str">
        <x:v>Demand or abuse causes uncontrolled cost, throttling or resource exhaustion.</x:v>
      </x:c>
      <x:c r="G68" s="63" t="str">
        <x:v>—</x:v>
      </x:c>
      <x:c r="H68" s="63" t="str">
        <x:v>C</x:v>
      </x:c>
      <x:c r="I68" s="63" t="str">
        <x:v>—</x:v>
      </x:c>
      <x:c r="J68" s="63" t="str">
        <x:v>—</x:v>
      </x:c>
      <x:c r="K68" s="63" t="str">
        <x:v>—</x:v>
      </x:c>
      <x:c r="L68" s="63" t="str">
        <x:v>R</x:v>
      </x:c>
      <x:c r="M68" s="63" t="str">
        <x:v>C</x:v>
      </x:c>
      <x:c r="N68" s="63" t="str">
        <x:v>C</x:v>
      </x:c>
      <x:c r="O68" s="63" t="str">
        <x:v>—</x:v>
      </x:c>
      <x:c r="P68" s="180" t="str">
        <x:v>Usage-based cloud resources or elastic scaling.</x:v>
      </x:c>
      <x:c r="Q68" s="180" t="str">
        <x:v>Fixed-cost service with no customer-controlled scaling.</x:v>
      </x:c>
      <x:c r="R68" s="180" t="str">
        <x:v>Capacity model, budgets/alerts, quotas, rate limits and load test</x:v>
      </x:c>
      <x:c r="S68" s="179" t="str"/>
      <x:c r="T68" s="179" t="str"/>
      <x:c r="U68" s="179" t="str"/>
      <x:c r="V68" s="179" t="str"/>
    </x:row>
    <x:row r="69" ht="76" customHeight="1">
      <x:c r="A69" s="72" t="str">
        <x:v>DAT-001</x:v>
      </x:c>
      <x:c r="B69" s="72" t="str">
        <x:v>Data / Analytics</x:v>
      </x:c>
      <x:c r="C69" s="72" t="str">
        <x:v>Data Architecture</x:v>
      </x:c>
      <x:c r="D69" s="72" t="str">
        <x:v>Ownership and lineage</x:v>
      </x:c>
      <x:c r="E69" s="72" t="str">
        <x:v>Are authoritative sources, stewards, transformations, derived datasets and consumers traceable end to end?</x:v>
      </x:c>
      <x:c r="F69" s="72" t="str">
        <x:v>Conflicting or unexplained data produces incorrect reporting or decisions.</x:v>
      </x:c>
      <x:c r="G69" s="63" t="str">
        <x:v>—</x:v>
      </x:c>
      <x:c r="H69" s="63" t="str">
        <x:v>—</x:v>
      </x:c>
      <x:c r="I69" s="63" t="str">
        <x:v>—</x:v>
      </x:c>
      <x:c r="J69" s="63" t="str">
        <x:v>C</x:v>
      </x:c>
      <x:c r="K69" s="63" t="str">
        <x:v>—</x:v>
      </x:c>
      <x:c r="L69" s="63" t="str">
        <x:v>—</x:v>
      </x:c>
      <x:c r="M69" s="63" t="str">
        <x:v>R</x:v>
      </x:c>
      <x:c r="N69" s="63" t="str">
        <x:v>C</x:v>
      </x:c>
      <x:c r="O69" s="63" t="str">
        <x:v>—</x:v>
      </x:c>
      <x:c r="P69" s="72" t="str">
        <x:v>Solution ingests, transforms, stores or publishes analytical data.</x:v>
      </x:c>
      <x:c r="Q69" s="72" t="str">
        <x:v>No analytical/secondary data processing.</x:v>
      </x:c>
      <x:c r="R69" s="72" t="str">
        <x:v>Data catalog, lineage, ownership and transformation documentation</x:v>
      </x:c>
      <x:c r="S69" s="179" t="str"/>
      <x:c r="T69" s="179" t="str"/>
      <x:c r="U69" s="179" t="str"/>
      <x:c r="V69" s="179" t="str"/>
    </x:row>
    <x:row r="70" ht="76" customHeight="1">
      <x:c r="A70" s="180" t="str">
        <x:v>DAT-002</x:v>
      </x:c>
      <x:c r="B70" s="180" t="str">
        <x:v>Data / Analytics</x:v>
      </x:c>
      <x:c r="C70" s="180" t="str">
        <x:v>Data Quality</x:v>
      </x:c>
      <x:c r="D70" s="180" t="str">
        <x:v>Ingestion controls</x:v>
      </x:c>
      <x:c r="E70" s="180" t="str">
        <x:v>Are completeness, timeliness, validity, reconciliation, duplicate and late-arriving data controls defined?</x:v>
      </x:c>
      <x:c r="F70" s="180" t="str">
        <x:v>Pipelines succeed technically while data is incomplete, stale or duplicated.</x:v>
      </x:c>
      <x:c r="G70" s="63" t="str">
        <x:v>—</x:v>
      </x:c>
      <x:c r="H70" s="63" t="str">
        <x:v>—</x:v>
      </x:c>
      <x:c r="I70" s="63" t="str">
        <x:v>—</x:v>
      </x:c>
      <x:c r="J70" s="63" t="str">
        <x:v>C</x:v>
      </x:c>
      <x:c r="K70" s="63" t="str">
        <x:v>—</x:v>
      </x:c>
      <x:c r="L70" s="63" t="str">
        <x:v>—</x:v>
      </x:c>
      <x:c r="M70" s="63" t="str">
        <x:v>R</x:v>
      </x:c>
      <x:c r="N70" s="63" t="str">
        <x:v>C</x:v>
      </x:c>
      <x:c r="O70" s="63" t="str">
        <x:v>—</x:v>
      </x:c>
      <x:c r="P70" s="180" t="str">
        <x:v>Batch/stream data ingestion or transformation.</x:v>
      </x:c>
      <x:c r="Q70" s="180" t="str">
        <x:v>No data pipeline.</x:v>
      </x:c>
      <x:c r="R70" s="180" t="str">
        <x:v>Quality rules, reconciliation totals, exception workflow and monitoring</x:v>
      </x:c>
      <x:c r="S70" s="179" t="str"/>
      <x:c r="T70" s="179" t="str"/>
      <x:c r="U70" s="179" t="str"/>
      <x:c r="V70" s="179" t="str"/>
    </x:row>
    <x:row r="71" ht="76" customHeight="1">
      <x:c r="A71" s="72" t="str">
        <x:v>DAT-003</x:v>
      </x:c>
      <x:c r="B71" s="72" t="str">
        <x:v>Data / Analytics</x:v>
      </x:c>
      <x:c r="C71" s="72" t="str">
        <x:v>Data Architecture</x:v>
      </x:c>
      <x:c r="D71" s="72" t="str">
        <x:v>Schema evolution</x:v>
      </x:c>
      <x:c r="E71" s="72" t="str">
        <x:v>Can source/target schemas, terminology and transformations evolve without silently changing meaning?</x:v>
      </x:c>
      <x:c r="F71" s="72" t="str">
        <x:v>A schema or code-set change corrupts downstream analytics or integrations.</x:v>
      </x:c>
      <x:c r="G71" s="63" t="str">
        <x:v>—</x:v>
      </x:c>
      <x:c r="H71" s="63" t="str">
        <x:v>—</x:v>
      </x:c>
      <x:c r="I71" s="63" t="str">
        <x:v>—</x:v>
      </x:c>
      <x:c r="J71" s="63" t="str">
        <x:v>C</x:v>
      </x:c>
      <x:c r="K71" s="63" t="str">
        <x:v>—</x:v>
      </x:c>
      <x:c r="L71" s="63" t="str">
        <x:v>C</x:v>
      </x:c>
      <x:c r="M71" s="63" t="str">
        <x:v>R</x:v>
      </x:c>
      <x:c r="N71" s="63" t="str">
        <x:v>—</x:v>
      </x:c>
      <x:c r="O71" s="63" t="str">
        <x:v>—</x:v>
      </x:c>
      <x:c r="P71" s="72" t="str">
        <x:v>Multiple producers/consumers or evolving schemas/terminologies.</x:v>
      </x:c>
      <x:c r="Q71" s="72" t="str">
        <x:v>Static one-time dataset with controlled migration.</x:v>
      </x:c>
      <x:c r="R71" s="72" t="str">
        <x:v>Data contracts, schema registry, versioning and regression tests</x:v>
      </x:c>
      <x:c r="S71" s="179" t="str"/>
      <x:c r="T71" s="179" t="str"/>
      <x:c r="U71" s="179" t="str"/>
      <x:c r="V71" s="179" t="str"/>
    </x:row>
    <x:row r="72" ht="76" customHeight="1">
      <x:c r="A72" s="180" t="str">
        <x:v>DAT-004</x:v>
      </x:c>
      <x:c r="B72" s="180" t="str">
        <x:v>Data / Analytics</x:v>
      </x:c>
      <x:c r="C72" s="180" t="str">
        <x:v>Privacy &amp; Data Lifecycle</x:v>
      </x:c>
      <x:c r="D72" s="180" t="str">
        <x:v>Copy control</x:v>
      </x:c>
      <x:c r="E72" s="180" t="str">
        <x:v>Are raw, curated, derived, export, cache and backup copies minimized and governed through retention and deletion?</x:v>
      </x:c>
      <x:c r="F72" s="180" t="str">
        <x:v>Sensitive data persists in uncontrolled copies or conflicts with records obligations.</x:v>
      </x:c>
      <x:c r="G72" s="63" t="str">
        <x:v>—</x:v>
      </x:c>
      <x:c r="H72" s="63" t="str">
        <x:v>—</x:v>
      </x:c>
      <x:c r="I72" s="63" t="str">
        <x:v>C</x:v>
      </x:c>
      <x:c r="J72" s="63" t="str">
        <x:v>—</x:v>
      </x:c>
      <x:c r="K72" s="63" t="str">
        <x:v>—</x:v>
      </x:c>
      <x:c r="L72" s="63" t="str">
        <x:v>—</x:v>
      </x:c>
      <x:c r="M72" s="63" t="str">
        <x:v>R</x:v>
      </x:c>
      <x:c r="N72" s="63" t="str">
        <x:v>C</x:v>
      </x:c>
      <x:c r="O72" s="63" t="str">
        <x:v>—</x:v>
      </x:c>
      <x:c r="P72" s="180" t="str">
        <x:v>Solution creates persistent or derived copies.</x:v>
      </x:c>
      <x:c r="Q72" s="180" t="str">
        <x:v>No persistence/derived data.</x:v>
      </x:c>
      <x:c r="R72" s="180" t="str">
        <x:v>Data inventory, retention map, purge process and deletion verification</x:v>
      </x:c>
      <x:c r="S72" s="179" t="str"/>
      <x:c r="T72" s="179" t="str"/>
      <x:c r="U72" s="179" t="str"/>
      <x:c r="V72" s="179" t="str"/>
    </x:row>
    <x:row r="73" ht="76" customHeight="1">
      <x:c r="A73" s="72" t="str">
        <x:v>DAT-005</x:v>
      </x:c>
      <x:c r="B73" s="72" t="str">
        <x:v>Data / Analytics</x:v>
      </x:c>
      <x:c r="C73" s="72" t="str">
        <x:v>Data Security</x:v>
      </x:c>
      <x:c r="D73" s="72" t="str">
        <x:v>Segregation</x:v>
      </x:c>
      <x:c r="E73" s="72" t="str">
        <x:v>Are row/column/object access, environment separation and privileged data operations designed for intended populations?</x:v>
      </x:c>
      <x:c r="F73" s="72" t="str">
        <x:v>Users or jobs access broader sensitive datasets than required.</x:v>
      </x:c>
      <x:c r="G73" s="63" t="str">
        <x:v>—</x:v>
      </x:c>
      <x:c r="H73" s="63" t="str">
        <x:v>—</x:v>
      </x:c>
      <x:c r="I73" s="63" t="str">
        <x:v>—</x:v>
      </x:c>
      <x:c r="J73" s="63" t="str">
        <x:v>—</x:v>
      </x:c>
      <x:c r="K73" s="63" t="str">
        <x:v>—</x:v>
      </x:c>
      <x:c r="L73" s="63" t="str">
        <x:v>C</x:v>
      </x:c>
      <x:c r="M73" s="63" t="str">
        <x:v>R</x:v>
      </x:c>
      <x:c r="N73" s="63" t="str">
        <x:v>C</x:v>
      </x:c>
      <x:c r="O73" s="63" t="str">
        <x:v>—</x:v>
      </x:c>
      <x:c r="P73" s="72" t="str">
        <x:v>Shared analytical platform or sensitive datasets.</x:v>
      </x:c>
      <x:c r="Q73" s="72" t="str">
        <x:v>Public/non-sensitive single-purpose data with no access restriction.</x:v>
      </x:c>
      <x:c r="R73" s="72" t="str">
        <x:v>Authorization model, entitlements, masking and access tests</x:v>
      </x:c>
      <x:c r="S73" s="179" t="str"/>
      <x:c r="T73" s="179" t="str"/>
      <x:c r="U73" s="179" t="str"/>
      <x:c r="V73" s="179" t="str"/>
    </x:row>
    <x:row r="74" ht="76" customHeight="1">
      <x:c r="A74" s="180" t="str">
        <x:v>DAT-006</x:v>
      </x:c>
      <x:c r="B74" s="180" t="str">
        <x:v>Data / Analytics</x:v>
      </x:c>
      <x:c r="C74" s="180" t="str">
        <x:v>Information Integrity</x:v>
      </x:c>
      <x:c r="D74" s="180" t="str">
        <x:v>Semantic consistency</x:v>
      </x:c>
      <x:c r="E74" s="180" t="str">
        <x:v>Are measures, dimensions, business rules, units and clinical terminology defined consistently across reports and APIs?</x:v>
      </x:c>
      <x:c r="F74" s="180" t="str">
        <x:v>Different consumers interpret the same measure differently and make conflicting decisions.</x:v>
      </x:c>
      <x:c r="G74" s="63" t="str">
        <x:v>—</x:v>
      </x:c>
      <x:c r="H74" s="63" t="str">
        <x:v>—</x:v>
      </x:c>
      <x:c r="I74" s="63" t="str">
        <x:v>—</x:v>
      </x:c>
      <x:c r="J74" s="63" t="str">
        <x:v>C</x:v>
      </x:c>
      <x:c r="K74" s="63" t="str">
        <x:v>—</x:v>
      </x:c>
      <x:c r="L74" s="63" t="str">
        <x:v>—</x:v>
      </x:c>
      <x:c r="M74" s="63" t="str">
        <x:v>R</x:v>
      </x:c>
      <x:c r="N74" s="63" t="str">
        <x:v>—</x:v>
      </x:c>
      <x:c r="O74" s="63" t="str">
        <x:v>—</x:v>
      </x:c>
      <x:c r="P74" s="180" t="str">
        <x:v>Solution publishes metrics, reports, models or reusable data products.</x:v>
      </x:c>
      <x:c r="Q74" s="180" t="str">
        <x:v>Raw transport only with no semantic transformation.</x:v>
      </x:c>
      <x:c r="R74" s="180" t="str">
        <x:v>Semantic model, metric definitions, terminology mapping and validation</x:v>
      </x:c>
      <x:c r="S74" s="179" t="str"/>
      <x:c r="T74" s="179" t="str"/>
      <x:c r="U74" s="179" t="str"/>
      <x:c r="V74" s="179" t="str"/>
    </x:row>
    <x:row r="75" ht="76" customHeight="1">
      <x:c r="A75" s="72" t="str">
        <x:v>DAT-007</x:v>
      </x:c>
      <x:c r="B75" s="72" t="str">
        <x:v>Data / Analytics</x:v>
      </x:c>
      <x:c r="C75" s="72" t="str">
        <x:v>Recoverability</x:v>
      </x:c>
      <x:c r="D75" s="72" t="str">
        <x:v>Pipeline recovery</x:v>
      </x:c>
      <x:c r="E75" s="72" t="str">
        <x:v>Can data pipelines resume/replay from a known point without duplication, loss or corruption after failure?</x:v>
      </x:c>
      <x:c r="F75" s="72" t="str">
        <x:v>Recovery recreates inconsistent datasets or requires uncontrolled manual repair.</x:v>
      </x:c>
      <x:c r="G75" s="63" t="str">
        <x:v>—</x:v>
      </x:c>
      <x:c r="H75" s="63" t="str">
        <x:v>—</x:v>
      </x:c>
      <x:c r="I75" s="63" t="str">
        <x:v>—</x:v>
      </x:c>
      <x:c r="J75" s="63" t="str">
        <x:v>C</x:v>
      </x:c>
      <x:c r="K75" s="63" t="str">
        <x:v>—</x:v>
      </x:c>
      <x:c r="L75" s="63" t="str">
        <x:v>C</x:v>
      </x:c>
      <x:c r="M75" s="63" t="str">
        <x:v>R</x:v>
      </x:c>
      <x:c r="N75" s="63" t="str">
        <x:v>—</x:v>
      </x:c>
      <x:c r="O75" s="63" t="str">
        <x:v>—</x:v>
      </x:c>
      <x:c r="P75" s="72" t="str">
        <x:v>Persistent batch/stream pipeline with recovery requirement.</x:v>
      </x:c>
      <x:c r="Q75" s="72" t="str">
        <x:v>Disposable analysis with reproducible inputs and no operational dependency.</x:v>
      </x:c>
      <x:c r="R75" s="72" t="str">
        <x:v>Checkpoint/replay design, restore test, reconciliation and runbook</x:v>
      </x:c>
      <x:c r="S75" s="179" t="str"/>
      <x:c r="T75" s="179" t="str"/>
      <x:c r="U75" s="179" t="str"/>
      <x:c r="V75" s="179" t="str"/>
    </x:row>
    <x:row r="76" ht="76" customHeight="1">
      <x:c r="A76" s="180" t="str">
        <x:v>DAT-008</x:v>
      </x:c>
      <x:c r="B76" s="180" t="str">
        <x:v>Data / Analytics</x:v>
      </x:c>
      <x:c r="C76" s="180" t="str">
        <x:v>Performance &amp; Capacity</x:v>
      </x:c>
      <x:c r="D76" s="180" t="str">
        <x:v>Workload isolation</x:v>
      </x:c>
      <x:c r="E76" s="180" t="str">
        <x:v>Are ingestion, transformation, query, extract and maintenance workloads isolated and sized for peaks?</x:v>
      </x:c>
      <x:c r="F76" s="180" t="str">
        <x:v>One workload starves another, delays critical data or exceeds platform limits.</x:v>
      </x:c>
      <x:c r="G76" s="63" t="str">
        <x:v>—</x:v>
      </x:c>
      <x:c r="H76" s="63" t="str">
        <x:v>—</x:v>
      </x:c>
      <x:c r="I76" s="63" t="str">
        <x:v>—</x:v>
      </x:c>
      <x:c r="J76" s="63" t="str">
        <x:v>—</x:v>
      </x:c>
      <x:c r="K76" s="63" t="str">
        <x:v>—</x:v>
      </x:c>
      <x:c r="L76" s="63" t="str">
        <x:v>C</x:v>
      </x:c>
      <x:c r="M76" s="63" t="str">
        <x:v>R</x:v>
      </x:c>
      <x:c r="N76" s="63" t="str">
        <x:v>—</x:v>
      </x:c>
      <x:c r="O76" s="63" t="str">
        <x:v>—</x:v>
      </x:c>
      <x:c r="P76" s="180" t="str">
        <x:v>Shared data platform or variable analytical workloads.</x:v>
      </x:c>
      <x:c r="Q76" s="180" t="str">
        <x:v>Small isolated dataset with documented fixed capacity.</x:v>
      </x:c>
      <x:c r="R76" s="180" t="str">
        <x:v>Workload model, resource governance, benchmarks and capacity thresholds</x:v>
      </x:c>
      <x:c r="S76" s="179" t="str"/>
      <x:c r="T76" s="179" t="str"/>
      <x:c r="U76" s="179" t="str"/>
      <x:c r="V76" s="179" t="str"/>
    </x:row>
    <x:row r="77" ht="76" customHeight="1">
      <x:c r="A77" s="72" t="str">
        <x:v>AIM-001</x:v>
      </x:c>
      <x:c r="B77" s="72" t="str">
        <x:v>AI / ML</x:v>
      </x:c>
      <x:c r="C77" s="72" t="str">
        <x:v>AI Governance</x:v>
      </x:c>
      <x:c r="D77" s="72" t="str">
        <x:v>Intended use</x:v>
      </x:c>
      <x:c r="E77" s="72" t="str">
        <x:v>Is the model's intended use, prohibited use, decision impact, user population and human-accountability boundary explicit?</x:v>
      </x:c>
      <x:c r="F77" s="72" t="str">
        <x:v>Users rely on AI outside validated scope or without accountable oversight.</x:v>
      </x:c>
      <x:c r="G77" s="63" t="str">
        <x:v>—</x:v>
      </x:c>
      <x:c r="H77" s="63" t="str">
        <x:v>—</x:v>
      </x:c>
      <x:c r="I77" s="63" t="str">
        <x:v>—</x:v>
      </x:c>
      <x:c r="J77" s="63" t="str">
        <x:v>—</x:v>
      </x:c>
      <x:c r="K77" s="63" t="str">
        <x:v>—</x:v>
      </x:c>
      <x:c r="L77" s="63" t="str">
        <x:v>—</x:v>
      </x:c>
      <x:c r="M77" s="63" t="str">
        <x:v>—</x:v>
      </x:c>
      <x:c r="N77" s="63" t="str">
        <x:v>R</x:v>
      </x:c>
      <x:c r="O77" s="63" t="str">
        <x:v>—</x:v>
      </x:c>
      <x:c r="P77" s="72" t="str">
        <x:v>Any AI/ML model, generative AI, automated prediction or decision support.</x:v>
      </x:c>
      <x:c r="Q77" s="72" t="str">
        <x:v>No AI/ML capability or externally generated model output.</x:v>
      </x:c>
      <x:c r="R77" s="72" t="str">
        <x:v>AI use-case record, intended-use statement, workflow and accountability</x:v>
      </x:c>
      <x:c r="S77" s="179" t="str"/>
      <x:c r="T77" s="179" t="str"/>
      <x:c r="U77" s="179" t="str"/>
      <x:c r="V77" s="179" t="str"/>
    </x:row>
    <x:row r="78" ht="76" customHeight="1">
      <x:c r="A78" s="180" t="str">
        <x:v>AIM-002</x:v>
      </x:c>
      <x:c r="B78" s="180" t="str">
        <x:v>AI / ML</x:v>
      </x:c>
      <x:c r="C78" s="180" t="str">
        <x:v>AI Data Architecture</x:v>
      </x:c>
      <x:c r="D78" s="180" t="str">
        <x:v>Provenance</x:v>
      </x:c>
      <x:c r="E78" s="180" t="str">
        <x:v>Are training, tuning, retrieval, prompt, evaluation and production data sources lawful, representative and traceable?</x:v>
      </x:c>
      <x:c r="F78" s="180" t="str">
        <x:v>Untraceable or inappropriate data produces privacy, bias or quality failures.</x:v>
      </x:c>
      <x:c r="G78" s="63" t="str">
        <x:v>—</x:v>
      </x:c>
      <x:c r="H78" s="63" t="str">
        <x:v>—</x:v>
      </x:c>
      <x:c r="I78" s="63" t="str">
        <x:v>—</x:v>
      </x:c>
      <x:c r="J78" s="63" t="str">
        <x:v>—</x:v>
      </x:c>
      <x:c r="K78" s="63" t="str">
        <x:v>—</x:v>
      </x:c>
      <x:c r="L78" s="63" t="str">
        <x:v>—</x:v>
      </x:c>
      <x:c r="M78" s="63" t="str">
        <x:v>C</x:v>
      </x:c>
      <x:c r="N78" s="63" t="str">
        <x:v>R</x:v>
      </x:c>
      <x:c r="O78" s="63" t="str">
        <x:v>—</x:v>
      </x:c>
      <x:c r="P78" s="180" t="str">
        <x:v>Model is trained, tuned, grounded or evaluated with organizational/external data.</x:v>
      </x:c>
      <x:c r="Q78" s="180" t="str">
        <x:v>No model and no AI data processing.</x:v>
      </x:c>
      <x:c r="R78" s="180" t="str">
        <x:v>Dataset inventory, lineage, rights/consent and provenance</x:v>
      </x:c>
      <x:c r="S78" s="179" t="str"/>
      <x:c r="T78" s="179" t="str"/>
      <x:c r="U78" s="179" t="str"/>
      <x:c r="V78" s="179" t="str"/>
    </x:row>
    <x:row r="79" ht="76" customHeight="1">
      <x:c r="A79" s="72" t="str">
        <x:v>AIM-003</x:v>
      </x:c>
      <x:c r="B79" s="72" t="str">
        <x:v>AI / ML</x:v>
      </x:c>
      <x:c r="C79" s="72" t="str">
        <x:v>Model Assurance</x:v>
      </x:c>
      <x:c r="D79" s="72" t="str">
        <x:v>Validation</x:v>
      </x:c>
      <x:c r="E79" s="72" t="str">
        <x:v>Are performance, calibration, subgroup behavior, robustness and clinical/business acceptance evaluated against defined thresholds?</x:v>
      </x:c>
      <x:c r="F79" s="72" t="str">
        <x:v>A model performs inadequately for the actual population or workflow.</x:v>
      </x:c>
      <x:c r="G79" s="63" t="str">
        <x:v>—</x:v>
      </x:c>
      <x:c r="H79" s="63" t="str">
        <x:v>—</x:v>
      </x:c>
      <x:c r="I79" s="63" t="str">
        <x:v>—</x:v>
      </x:c>
      <x:c r="J79" s="63" t="str">
        <x:v>—</x:v>
      </x:c>
      <x:c r="K79" s="63" t="str">
        <x:v>—</x:v>
      </x:c>
      <x:c r="L79" s="63" t="str">
        <x:v>—</x:v>
      </x:c>
      <x:c r="M79" s="63" t="str">
        <x:v>—</x:v>
      </x:c>
      <x:c r="N79" s="63" t="str">
        <x:v>R</x:v>
      </x:c>
      <x:c r="O79" s="63" t="str">
        <x:v>—</x:v>
      </x:c>
      <x:c r="P79" s="72" t="str">
        <x:v>AI output influences a material decision or workflow.</x:v>
      </x:c>
      <x:c r="Q79" s="72" t="str">
        <x:v>No AI output or immaterial experimental use with no operational decision.</x:v>
      </x:c>
      <x:c r="R79" s="72" t="str">
        <x:v>Validation report, acceptance thresholds, test set and approval</x:v>
      </x:c>
      <x:c r="S79" s="179" t="str"/>
      <x:c r="T79" s="179" t="str"/>
      <x:c r="U79" s="179" t="str"/>
      <x:c r="V79" s="179" t="str"/>
    </x:row>
    <x:row r="80" ht="76" customHeight="1">
      <x:c r="A80" s="180" t="str">
        <x:v>AIM-004</x:v>
      </x:c>
      <x:c r="B80" s="180" t="str">
        <x:v>AI / ML</x:v>
      </x:c>
      <x:c r="C80" s="180" t="str">
        <x:v>Human Factors</x:v>
      </x:c>
      <x:c r="D80" s="180" t="str">
        <x:v>Oversight</x:v>
      </x:c>
      <x:c r="E80" s="180" t="str">
        <x:v>Can users understand AI status, uncertainty and limitations, review evidence, override output and escalate errors?</x:v>
      </x:c>
      <x:c r="F80" s="180" t="str">
        <x:v>Automation bias or unclear interaction causes inappropriate action.</x:v>
      </x:c>
      <x:c r="G80" s="63" t="str">
        <x:v>—</x:v>
      </x:c>
      <x:c r="H80" s="63" t="str">
        <x:v>C</x:v>
      </x:c>
      <x:c r="I80" s="63" t="str">
        <x:v>—</x:v>
      </x:c>
      <x:c r="J80" s="63" t="str">
        <x:v>—</x:v>
      </x:c>
      <x:c r="K80" s="63" t="str">
        <x:v>—</x:v>
      </x:c>
      <x:c r="L80" s="63" t="str">
        <x:v>—</x:v>
      </x:c>
      <x:c r="M80" s="63" t="str">
        <x:v>—</x:v>
      </x:c>
      <x:c r="N80" s="63" t="str">
        <x:v>R</x:v>
      </x:c>
      <x:c r="O80" s="63" t="str">
        <x:v>—</x:v>
      </x:c>
      <x:c r="P80" s="180" t="str">
        <x:v>Humans consume or act on AI output.</x:v>
      </x:c>
      <x:c r="Q80" s="180" t="str">
        <x:v>Machine-only low-impact optimization with documented automated safeguards.</x:v>
      </x:c>
      <x:c r="R80" s="180" t="str">
        <x:v>UX design, human-in-the-loop procedure, training and usability tests</x:v>
      </x:c>
      <x:c r="S80" s="179" t="str"/>
      <x:c r="T80" s="179" t="str"/>
      <x:c r="U80" s="179" t="str"/>
      <x:c r="V80" s="179" t="str"/>
    </x:row>
    <x:row r="81" ht="76" customHeight="1">
      <x:c r="A81" s="72" t="str">
        <x:v>AIM-005</x:v>
      </x:c>
      <x:c r="B81" s="72" t="str">
        <x:v>AI / ML</x:v>
      </x:c>
      <x:c r="C81" s="72" t="str">
        <x:v>Operability &amp; Model Monitoring</x:v>
      </x:c>
      <x:c r="D81" s="72" t="str">
        <x:v>Drift</x:v>
      </x:c>
      <x:c r="E81" s="72" t="str">
        <x:v>Are input drift, output quality, safety, bias, latency, cost and feedback monitored with action thresholds?</x:v>
      </x:c>
      <x:c r="F81" s="72" t="str">
        <x:v>Model quality degrades silently after deployment or population/process change.</x:v>
      </x:c>
      <x:c r="G81" s="63" t="str">
        <x:v>—</x:v>
      </x:c>
      <x:c r="H81" s="63" t="str">
        <x:v>—</x:v>
      </x:c>
      <x:c r="I81" s="63" t="str">
        <x:v>—</x:v>
      </x:c>
      <x:c r="J81" s="63" t="str">
        <x:v>—</x:v>
      </x:c>
      <x:c r="K81" s="63" t="str">
        <x:v>—</x:v>
      </x:c>
      <x:c r="L81" s="63" t="str">
        <x:v>C</x:v>
      </x:c>
      <x:c r="M81" s="63" t="str">
        <x:v>C</x:v>
      </x:c>
      <x:c r="N81" s="63" t="str">
        <x:v>R</x:v>
      </x:c>
      <x:c r="O81" s="63" t="str">
        <x:v>—</x:v>
      </x:c>
      <x:c r="P81" s="72" t="str">
        <x:v>Production AI/ML model or external model service.</x:v>
      </x:c>
      <x:c r="Q81" s="72" t="str">
        <x:v>Time-bounded offline experiment with no production users.</x:v>
      </x:c>
      <x:c r="R81" s="72" t="str">
        <x:v>Monitoring plan, thresholds, alert ownership and retraining/review trigger</x:v>
      </x:c>
      <x:c r="S81" s="179" t="str"/>
      <x:c r="T81" s="179" t="str"/>
      <x:c r="U81" s="179" t="str"/>
      <x:c r="V81" s="179" t="str"/>
    </x:row>
    <x:row r="82" ht="76" customHeight="1">
      <x:c r="A82" s="180" t="str">
        <x:v>AIM-006</x:v>
      </x:c>
      <x:c r="B82" s="180" t="str">
        <x:v>AI / ML</x:v>
      </x:c>
      <x:c r="C82" s="180" t="str">
        <x:v>Privacy &amp; Data Use</x:v>
      </x:c>
      <x:c r="D82" s="180" t="str">
        <x:v>Secondary use</x:v>
      </x:c>
      <x:c r="E82" s="180" t="str">
        <x:v>Can prompts, outputs, telemetry, feedback or customer data train or improve any internal/external model, and is that use governed?</x:v>
      </x:c>
      <x:c r="F82" s="180" t="str">
        <x:v>Sensitive information is reused beyond the approved purpose.</x:v>
      </x:c>
      <x:c r="G82" s="63" t="str">
        <x:v>—</x:v>
      </x:c>
      <x:c r="H82" s="63" t="str">
        <x:v>—</x:v>
      </x:c>
      <x:c r="I82" s="63" t="str">
        <x:v>C</x:v>
      </x:c>
      <x:c r="J82" s="63" t="str">
        <x:v>—</x:v>
      </x:c>
      <x:c r="K82" s="63" t="str">
        <x:v>—</x:v>
      </x:c>
      <x:c r="L82" s="63" t="str">
        <x:v>—</x:v>
      </x:c>
      <x:c r="M82" s="63" t="str">
        <x:v>—</x:v>
      </x:c>
      <x:c r="N82" s="63" t="str">
        <x:v>R</x:v>
      </x:c>
      <x:c r="O82" s="63" t="str">
        <x:v>—</x:v>
      </x:c>
      <x:c r="P82" s="180" t="str">
        <x:v>External/internal AI service processes organizational data.</x:v>
      </x:c>
      <x:c r="Q82" s="180" t="str">
        <x:v>No AI data processing.</x:v>
      </x:c>
      <x:c r="R82" s="180" t="str">
        <x:v>Contract terms, settings, data flow, retention and opt-out evidence</x:v>
      </x:c>
      <x:c r="S82" s="179" t="str"/>
      <x:c r="T82" s="179" t="str"/>
      <x:c r="U82" s="179" t="str"/>
      <x:c r="V82" s="179" t="str"/>
    </x:row>
    <x:row r="83" ht="76" customHeight="1">
      <x:c r="A83" s="72" t="str">
        <x:v>AIM-007</x:v>
      </x:c>
      <x:c r="B83" s="72" t="str">
        <x:v>AI / ML</x:v>
      </x:c>
      <x:c r="C83" s="72" t="str">
        <x:v>AI Security</x:v>
      </x:c>
      <x:c r="D83" s="72" t="str">
        <x:v>Prompt/tool boundary</x:v>
      </x:c>
      <x:c r="E83" s="72" t="str">
        <x:v>For generative or agentic AI, are prompt injection, data exfiltration, retrieval authorization, tool permissions and unsafe actions constrained?</x:v>
      </x:c>
      <x:c r="F83" s="72" t="str">
        <x:v>Untrusted content manipulates the model into exposing data or taking unauthorized action.</x:v>
      </x:c>
      <x:c r="G83" s="63" t="str">
        <x:v>—</x:v>
      </x:c>
      <x:c r="H83" s="63" t="str">
        <x:v>C</x:v>
      </x:c>
      <x:c r="I83" s="63" t="str">
        <x:v>—</x:v>
      </x:c>
      <x:c r="J83" s="63" t="str">
        <x:v>—</x:v>
      </x:c>
      <x:c r="K83" s="63" t="str">
        <x:v>—</x:v>
      </x:c>
      <x:c r="L83" s="63" t="str">
        <x:v>C</x:v>
      </x:c>
      <x:c r="M83" s="63" t="str">
        <x:v>—</x:v>
      </x:c>
      <x:c r="N83" s="63" t="str">
        <x:v>R</x:v>
      </x:c>
      <x:c r="O83" s="63" t="str">
        <x:v>—</x:v>
      </x:c>
      <x:c r="P83" s="72" t="str">
        <x:v>Generative AI, RAG, tools, agents or untrusted prompt/content.</x:v>
      </x:c>
      <x:c r="Q83" s="72" t="str">
        <x:v>Classical model with no natural-language prompt, retrieval or tool action.</x:v>
      </x:c>
      <x:c r="R83" s="72" t="str">
        <x:v>Threat model, authorization design, guardrails, red-team and negative tests</x:v>
      </x:c>
      <x:c r="S83" s="179" t="str"/>
      <x:c r="T83" s="179" t="str"/>
      <x:c r="U83" s="179" t="str"/>
      <x:c r="V83" s="179" t="str"/>
    </x:row>
    <x:row r="84" ht="76" customHeight="1">
      <x:c r="A84" s="180" t="str">
        <x:v>AIM-008</x:v>
      </x:c>
      <x:c r="B84" s="180" t="str">
        <x:v>AI / ML</x:v>
      </x:c>
      <x:c r="C84" s="180" t="str">
        <x:v>Changeability &amp; Governance</x:v>
      </x:c>
      <x:c r="D84" s="180" t="str">
        <x:v>Model change</x:v>
      </x:c>
      <x:c r="E84" s="180" t="str">
        <x:v>Are model/provider/version, prompt, retrieval corpus, thresholds and safety configuration changes governed and reversible?</x:v>
      </x:c>
      <x:c r="F84" s="180" t="str">
        <x:v>A vendor or configuration change alters behavior without validation or approval.</x:v>
      </x:c>
      <x:c r="G84" s="63" t="str">
        <x:v>—</x:v>
      </x:c>
      <x:c r="H84" s="63" t="str">
        <x:v>—</x:v>
      </x:c>
      <x:c r="I84" s="63" t="str">
        <x:v>C</x:v>
      </x:c>
      <x:c r="J84" s="63" t="str">
        <x:v>—</x:v>
      </x:c>
      <x:c r="K84" s="63" t="str">
        <x:v>—</x:v>
      </x:c>
      <x:c r="L84" s="63" t="str">
        <x:v>—</x:v>
      </x:c>
      <x:c r="M84" s="63" t="str">
        <x:v>—</x:v>
      </x:c>
      <x:c r="N84" s="63" t="str">
        <x:v>R</x:v>
      </x:c>
      <x:c r="O84" s="63" t="str">
        <x:v>—</x:v>
      </x:c>
      <x:c r="P84" s="180" t="str">
        <x:v>Production model/service can change independently.</x:v>
      </x:c>
      <x:c r="Q84" s="180" t="str">
        <x:v>No AI model or static validated model with controlled release.</x:v>
      </x:c>
      <x:c r="R84" s="180" t="str">
        <x:v>Version inventory, change notification, regression suite and rollback</x:v>
      </x:c>
      <x:c r="S84" s="179" t="str"/>
      <x:c r="T84" s="179" t="str"/>
      <x:c r="U84" s="179" t="str"/>
      <x:c r="V84" s="179" t="str"/>
    </x:row>
    <x:row r="85" ht="76" customHeight="1">
      <x:c r="A85" s="72" t="str">
        <x:v>AIM-009</x:v>
      </x:c>
      <x:c r="B85" s="72" t="str">
        <x:v>AI / ML</x:v>
      </x:c>
      <x:c r="C85" s="72" t="str">
        <x:v>Resilience &amp; Safety</x:v>
      </x:c>
      <x:c r="D85" s="72" t="str">
        <x:v>Fallback</x:v>
      </x:c>
      <x:c r="E85" s="72" t="str">
        <x:v>Can the AI feature be disabled or bypassed safely while preserving an acceptable workflow and audit trail?</x:v>
      </x:c>
      <x:c r="F85" s="72" t="str">
        <x:v>AI outage or unsafe behavior blocks the service or forces undocumented workarounds.</x:v>
      </x:c>
      <x:c r="G85" s="63" t="str">
        <x:v>—</x:v>
      </x:c>
      <x:c r="H85" s="63" t="str">
        <x:v>C</x:v>
      </x:c>
      <x:c r="I85" s="63" t="str">
        <x:v>C</x:v>
      </x:c>
      <x:c r="J85" s="63" t="str">
        <x:v>—</x:v>
      </x:c>
      <x:c r="K85" s="63" t="str">
        <x:v>—</x:v>
      </x:c>
      <x:c r="L85" s="63" t="str">
        <x:v>—</x:v>
      </x:c>
      <x:c r="M85" s="63" t="str">
        <x:v>—</x:v>
      </x:c>
      <x:c r="N85" s="63" t="str">
        <x:v>R</x:v>
      </x:c>
      <x:c r="O85" s="63" t="str">
        <x:v>—</x:v>
      </x:c>
      <x:c r="P85" s="72" t="str">
        <x:v>AI is embedded in a production workflow.</x:v>
      </x:c>
      <x:c r="Q85" s="72" t="str">
        <x:v>AI is optional and already has an evidenced safe bypass.</x:v>
      </x:c>
      <x:c r="R85" s="72" t="str">
        <x:v>Fallback design, kill switch, downtime test and audit evidence</x:v>
      </x:c>
      <x:c r="S85" s="179" t="str"/>
      <x:c r="T85" s="179" t="str"/>
      <x:c r="U85" s="179" t="str"/>
      <x:c r="V85" s="179" t="str"/>
    </x:row>
    <x:row r="86" ht="76" customHeight="1">
      <x:c r="A86" s="180" t="str">
        <x:v>INF-001</x:v>
      </x:c>
      <x:c r="B86" s="180" t="str">
        <x:v>Infrastructure / Network</x:v>
      </x:c>
      <x:c r="C86" s="180" t="str">
        <x:v>Infrastructure Architecture</x:v>
      </x:c>
      <x:c r="D86" s="180" t="str">
        <x:v>Topology resilience</x:v>
      </x:c>
      <x:c r="E86" s="180" t="str">
        <x:v>Does topology meet availability, fault-domain, maintenance and site/region requirements without hidden shared dependencies?</x:v>
      </x:c>
      <x:c r="F86" s="180" t="str">
        <x:v>A shared network, power, compute or management dependency defeats intended resilience.</x:v>
      </x:c>
      <x:c r="G86" s="63" t="str">
        <x:v>—</x:v>
      </x:c>
      <x:c r="H86" s="63" t="str">
        <x:v>—</x:v>
      </x:c>
      <x:c r="I86" s="63" t="str">
        <x:v>—</x:v>
      </x:c>
      <x:c r="J86" s="63" t="str">
        <x:v>—</x:v>
      </x:c>
      <x:c r="K86" s="63" t="str">
        <x:v>C</x:v>
      </x:c>
      <x:c r="L86" s="63" t="str">
        <x:v>C</x:v>
      </x:c>
      <x:c r="M86" s="63" t="str">
        <x:v>—</x:v>
      </x:c>
      <x:c r="N86" s="63" t="str">
        <x:v>—</x:v>
      </x:c>
      <x:c r="O86" s="63" t="str">
        <x:v>R</x:v>
      </x:c>
      <x:c r="P86" s="180" t="str">
        <x:v>Network, compute, storage, virtualization or platform service is the primary scope.</x:v>
      </x:c>
      <x:c r="Q86" s="180" t="str">
        <x:v>Application-only change with no material infrastructure design.</x:v>
      </x:c>
      <x:c r="R86" s="180" t="str">
        <x:v>Topology, failure-domain map, maintenance model and resilience test</x:v>
      </x:c>
      <x:c r="S86" s="179" t="str"/>
      <x:c r="T86" s="179" t="str"/>
      <x:c r="U86" s="179" t="str"/>
      <x:c r="V86" s="179" t="str"/>
    </x:row>
    <x:row r="87" ht="76" customHeight="1">
      <x:c r="A87" s="72" t="str">
        <x:v>INF-002</x:v>
      </x:c>
      <x:c r="B87" s="72" t="str">
        <x:v>Infrastructure / Network</x:v>
      </x:c>
      <x:c r="C87" s="72" t="str">
        <x:v>Network Security</x:v>
      </x:c>
      <x:c r="D87" s="72" t="str">
        <x:v>Control planes</x:v>
      </x:c>
      <x:c r="E87" s="72" t="str">
        <x:v>Are data, management, monitoring and administrative planes separated with least-connectivity paths?</x:v>
      </x:c>
      <x:c r="F87" s="72" t="str">
        <x:v>Management exposure or broad lateral access expands blast radius.</x:v>
      </x:c>
      <x:c r="G87" s="63" t="str">
        <x:v>C</x:v>
      </x:c>
      <x:c r="H87" s="63" t="str">
        <x:v>—</x:v>
      </x:c>
      <x:c r="I87" s="63" t="str">
        <x:v>—</x:v>
      </x:c>
      <x:c r="J87" s="63" t="str">
        <x:v>—</x:v>
      </x:c>
      <x:c r="K87" s="63" t="str">
        <x:v>C</x:v>
      </x:c>
      <x:c r="L87" s="63" t="str">
        <x:v>C</x:v>
      </x:c>
      <x:c r="M87" s="63" t="str">
        <x:v>—</x:v>
      </x:c>
      <x:c r="N87" s="63" t="str">
        <x:v>—</x:v>
      </x:c>
      <x:c r="O87" s="63" t="str">
        <x:v>R</x:v>
      </x:c>
      <x:c r="P87" s="72" t="str">
        <x:v>Infrastructure introduces or changes trust zones/control planes.</x:v>
      </x:c>
      <x:c r="Q87" s="72" t="str">
        <x:v>No network/control-plane change.</x:v>
      </x:c>
      <x:c r="R87" s="72" t="str">
        <x:v>Zone design, flow matrix, admin path and segmentation test</x:v>
      </x:c>
      <x:c r="S87" s="179" t="str"/>
      <x:c r="T87" s="179" t="str"/>
      <x:c r="U87" s="179" t="str"/>
      <x:c r="V87" s="179" t="str"/>
    </x:row>
    <x:row r="88" ht="76" customHeight="1">
      <x:c r="A88" s="180" t="str">
        <x:v>INF-003</x:v>
      </x:c>
      <x:c r="B88" s="180" t="str">
        <x:v>Infrastructure / Network</x:v>
      </x:c>
      <x:c r="C88" s="180" t="str">
        <x:v>Performance &amp; Capacity</x:v>
      </x:c>
      <x:c r="D88" s="180" t="str">
        <x:v>Service limits</x:v>
      </x:c>
      <x:c r="E88" s="180" t="str">
        <x:v>Are throughput, latency, connection, storage, power and growth limits measured with adequate headroom?</x:v>
      </x:c>
      <x:c r="F88" s="180" t="str">
        <x:v>Saturation causes cascading latency, packet loss, storage exhaustion or service instability.</x:v>
      </x:c>
      <x:c r="G88" s="63" t="str">
        <x:v>—</x:v>
      </x:c>
      <x:c r="H88" s="63" t="str">
        <x:v>—</x:v>
      </x:c>
      <x:c r="I88" s="63" t="str">
        <x:v>—</x:v>
      </x:c>
      <x:c r="J88" s="63" t="str">
        <x:v>—</x:v>
      </x:c>
      <x:c r="K88" s="63" t="str">
        <x:v>—</x:v>
      </x:c>
      <x:c r="L88" s="63" t="str">
        <x:v>C</x:v>
      </x:c>
      <x:c r="M88" s="63" t="str">
        <x:v>C</x:v>
      </x:c>
      <x:c r="N88" s="63" t="str">
        <x:v>—</x:v>
      </x:c>
      <x:c r="O88" s="63" t="str">
        <x:v>R</x:v>
      </x:c>
      <x:c r="P88" s="180" t="str">
        <x:v>Shared infrastructure has variable demand or hard service limits.</x:v>
      </x:c>
      <x:c r="Q88" s="180" t="str">
        <x:v>Dedicated fixed-capacity component with proven sizing.</x:v>
      </x:c>
      <x:c r="R88" s="180" t="str">
        <x:v>Demand model, benchmarks, thresholds and capacity plan</x:v>
      </x:c>
      <x:c r="S88" s="179" t="str"/>
      <x:c r="T88" s="179" t="str"/>
      <x:c r="U88" s="179" t="str"/>
      <x:c r="V88" s="179" t="str"/>
    </x:row>
    <x:row r="89" ht="76" customHeight="1">
      <x:c r="A89" s="72" t="str">
        <x:v>INF-004</x:v>
      </x:c>
      <x:c r="B89" s="72" t="str">
        <x:v>Infrastructure / Network</x:v>
      </x:c>
      <x:c r="C89" s="72" t="str">
        <x:v>Platform Engineering</x:v>
      </x:c>
      <x:c r="D89" s="72" t="str">
        <x:v>Automation and drift</x:v>
      </x:c>
      <x:c r="E89" s="72" t="str">
        <x:v>Are builds, configuration, policy and firmware reproducible, peer-reviewed and monitored for drift?</x:v>
      </x:c>
      <x:c r="F89" s="72" t="str">
        <x:v>Manual variance creates inconsistent security, availability and recovery behavior.</x:v>
      </x:c>
      <x:c r="G89" s="63" t="str">
        <x:v>—</x:v>
      </x:c>
      <x:c r="H89" s="63" t="str">
        <x:v>—</x:v>
      </x:c>
      <x:c r="I89" s="63" t="str">
        <x:v>—</x:v>
      </x:c>
      <x:c r="J89" s="63" t="str">
        <x:v>—</x:v>
      </x:c>
      <x:c r="K89" s="63" t="str">
        <x:v>C</x:v>
      </x:c>
      <x:c r="L89" s="63" t="str">
        <x:v>C</x:v>
      </x:c>
      <x:c r="M89" s="63" t="str">
        <x:v>—</x:v>
      </x:c>
      <x:c r="N89" s="63" t="str">
        <x:v>—</x:v>
      </x:c>
      <x:c r="O89" s="63" t="str">
        <x:v>R</x:v>
      </x:c>
      <x:c r="P89" s="72" t="str">
        <x:v>Infrastructure is configurable and replicated across environments/sites.</x:v>
      </x:c>
      <x:c r="Q89" s="72" t="str">
        <x:v>Vendor-managed immutable appliance with evidenced configuration control.</x:v>
      </x:c>
      <x:c r="R89" s="72" t="str">
        <x:v>Automation/IaC, configuration baseline, drift report and rebuild test</x:v>
      </x:c>
      <x:c r="S89" s="179" t="str"/>
      <x:c r="T89" s="179" t="str"/>
      <x:c r="U89" s="179" t="str"/>
      <x:c r="V89" s="179" t="str"/>
    </x:row>
    <x:row r="90" ht="76" customHeight="1">
      <x:c r="A90" s="180" t="str">
        <x:v>INF-005</x:v>
      </x:c>
      <x:c r="B90" s="180" t="str">
        <x:v>Infrastructure / Network</x:v>
      </x:c>
      <x:c r="C90" s="180" t="str">
        <x:v>Lifecycle</x:v>
      </x:c>
      <x:c r="D90" s="180" t="str">
        <x:v>Currency</x:v>
      </x:c>
      <x:c r="E90" s="180" t="str">
        <x:v>Are hardware, hypervisor, network OS, firmware, agents and management tools within support and upgrade-compatible?</x:v>
      </x:c>
      <x:c r="F90" s="180" t="str">
        <x:v>Out-of-support infrastructure blocks remediation or fails during dependent upgrades.</x:v>
      </x:c>
      <x:c r="G90" s="63" t="str">
        <x:v>C</x:v>
      </x:c>
      <x:c r="H90" s="63" t="str">
        <x:v>—</x:v>
      </x:c>
      <x:c r="I90" s="63" t="str">
        <x:v>—</x:v>
      </x:c>
      <x:c r="J90" s="63" t="str">
        <x:v>—</x:v>
      </x:c>
      <x:c r="K90" s="63" t="str">
        <x:v>C</x:v>
      </x:c>
      <x:c r="L90" s="63" t="str">
        <x:v>—</x:v>
      </x:c>
      <x:c r="M90" s="63" t="str">
        <x:v>—</x:v>
      </x:c>
      <x:c r="N90" s="63" t="str">
        <x:v>—</x:v>
      </x:c>
      <x:c r="O90" s="63" t="str">
        <x:v>R</x:v>
      </x:c>
      <x:c r="P90" s="180" t="str">
        <x:v>Infrastructure components are in assessment scope.</x:v>
      </x:c>
      <x:c r="Q90" s="180" t="str">
        <x:v>No new/changed infrastructure component.</x:v>
      </x:c>
      <x:c r="R90" s="180" t="str">
        <x:v>Asset/version inventory, support dates and compatibility plan</x:v>
      </x:c>
      <x:c r="S90" s="179" t="str"/>
      <x:c r="T90" s="179" t="str"/>
      <x:c r="U90" s="179" t="str"/>
      <x:c r="V90" s="179" t="str"/>
    </x:row>
    <x:row r="91" ht="76" customHeight="1">
      <x:c r="A91" s="72" t="str">
        <x:v>INF-006</x:v>
      </x:c>
      <x:c r="B91" s="72" t="str">
        <x:v>Infrastructure / Network</x:v>
      </x:c>
      <x:c r="C91" s="72" t="str">
        <x:v>Recoverability</x:v>
      </x:c>
      <x:c r="D91" s="72" t="str">
        <x:v>Configuration recovery</x:v>
      </x:c>
      <x:c r="E91" s="72" t="str">
        <x:v>Can infrastructure configuration, keys, images and dependencies be restored or rebuilt within objectives?</x:v>
      </x:c>
      <x:c r="F91" s="72" t="str">
        <x:v>Data backups exist but the platform/network cannot be reconstructed.</x:v>
      </x:c>
      <x:c r="G91" s="63" t="str">
        <x:v>—</x:v>
      </x:c>
      <x:c r="H91" s="63" t="str">
        <x:v>—</x:v>
      </x:c>
      <x:c r="I91" s="63" t="str">
        <x:v>—</x:v>
      </x:c>
      <x:c r="J91" s="63" t="str">
        <x:v>—</x:v>
      </x:c>
      <x:c r="K91" s="63" t="str">
        <x:v>C</x:v>
      </x:c>
      <x:c r="L91" s="63" t="str">
        <x:v>C</x:v>
      </x:c>
      <x:c r="M91" s="63" t="str">
        <x:v>—</x:v>
      </x:c>
      <x:c r="N91" s="63" t="str">
        <x:v>—</x:v>
      </x:c>
      <x:c r="O91" s="63" t="str">
        <x:v>R</x:v>
      </x:c>
      <x:c r="P91" s="72" t="str">
        <x:v>Infrastructure is required for service recovery.</x:v>
      </x:c>
      <x:c r="Q91" s="72" t="str">
        <x:v>Ephemeral platform is fully reproducible and evidenced elsewhere.</x:v>
      </x:c>
      <x:c r="R91" s="72" t="str">
        <x:v>Backup/export scope, rebuild automation, recovery test and dependency order</x:v>
      </x:c>
      <x:c r="S91" s="179" t="str"/>
      <x:c r="T91" s="179" t="str"/>
      <x:c r="U91" s="179" t="str"/>
      <x:c r="V91" s="179" t="str"/>
    </x:row>
    <x:row r="92" ht="76" customHeight="1">
      <x:c r="A92" s="180" t="str">
        <x:v>INF-007</x:v>
      </x:c>
      <x:c r="B92" s="180" t="str">
        <x:v>Infrastructure / Network</x:v>
      </x:c>
      <x:c r="C92" s="180" t="str">
        <x:v>Operability</x:v>
      </x:c>
      <x:c r="D92" s="180" t="str">
        <x:v>Maintenance and escalation</x:v>
      </x:c>
      <x:c r="E92" s="180" t="str">
        <x:v>Are monitoring, maintenance windows, failover procedures, access, spares and escalation responsibilities operationally ready?</x:v>
      </x:c>
      <x:c r="F92" s="180" t="str">
        <x:v>Routine maintenance or failure causes avoidable outage and delayed restoration.</x:v>
      </x:c>
      <x:c r="G92" s="63" t="str">
        <x:v>C</x:v>
      </x:c>
      <x:c r="H92" s="63" t="str">
        <x:v>—</x:v>
      </x:c>
      <x:c r="I92" s="63" t="str">
        <x:v>—</x:v>
      </x:c>
      <x:c r="J92" s="63" t="str">
        <x:v>—</x:v>
      </x:c>
      <x:c r="K92" s="63" t="str">
        <x:v>C</x:v>
      </x:c>
      <x:c r="L92" s="63" t="str">
        <x:v>—</x:v>
      </x:c>
      <x:c r="M92" s="63" t="str">
        <x:v>—</x:v>
      </x:c>
      <x:c r="N92" s="63" t="str">
        <x:v>—</x:v>
      </x:c>
      <x:c r="O92" s="63" t="str">
        <x:v>R</x:v>
      </x:c>
      <x:c r="P92" s="180" t="str">
        <x:v>Production infrastructure needs ongoing operations.</x:v>
      </x:c>
      <x:c r="Q92" s="180" t="str">
        <x:v>No operated infrastructure in scope.</x:v>
      </x:c>
      <x:c r="R92" s="180" t="str">
        <x:v>Runbooks, monitoring, spares/support model, maintenance and escalation matrix</x:v>
      </x:c>
      <x:c r="S92" s="179" t="str"/>
      <x:c r="T92" s="179" t="str"/>
      <x:c r="U92" s="179" t="str"/>
      <x:c r="V92" s="179" t="str"/>
    </x:row>
  </x:sheetData>
  <x:mergeCells>
    <x:mergeCell ref="A1:V1"/>
    <x:mergeCell ref="A2:V2"/>
    <x:mergeCell ref="A4:F5"/>
    <x:mergeCell ref="G4:L5"/>
    <x:mergeCell ref="M4:R5"/>
    <x:mergeCell ref="S4:V5"/>
  </x:mergeCells>
  <x:conditionalFormatting sqref="S8:S92">
    <x:cfRule type="containsText" dxfId="2" priority="1" operator="containsText" text="Selected"/>
    <x:cfRule type="containsText" dxfId="3" priority="2" operator="containsText" text="Conditional"/>
    <x:cfRule type="containsText" dxfId="4" priority="3" operator="containsText" text="Excluded"/>
  </x:conditionalFormatting>
  <x:conditionalFormatting sqref="U8:U92">
    <x:cfRule type="containsText" dxfId="5" priority="4" operator="containsText" text="Risk Row"/>
    <x:cfRule type="containsText" dxfId="6" priority="5" operator="containsText" text="Pending Evidence"/>
  </x:conditionalFormatting>
  <x:dataValidations count="2">
    <x:dataValidation type="list" sqref="S8:S92">
      <x:formula1>"Selected,Conditional – verify,Excluded"</x:formula1>
    </x:dataValidation>
    <x:dataValidation type="list" sqref="U8:U92">
      <x:formula1>"No Finding,Risk Row,ADR,Exception,Pending Evidence"</x:formula1>
    </x:dataValidation>
  </x:dataValidations>
  <x:pageMargins left="0.7" right="0.7" top="0.75" bottom="0.75" header="0.3" footer="0.3"/>
  <x:tableParts count="1">
    <x:tablePart xmlns:r="http://schemas.openxmlformats.org/officeDocument/2006/relationships" r:id="Ra77ac41523ed43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24" hidden="0" customWidth="1"/>
    <x:col min="4" max="4" width="28" hidden="0" customWidth="1"/>
    <x:col min="5" max="5" width="20" hidden="0" customWidth="1"/>
    <x:col min="6" max="6" width="40" hidden="0" customWidth="1"/>
    <x:col min="7" max="7" width="40" hidden="0" customWidth="1"/>
    <x:col min="8" max="8" width="18" hidden="0" customWidth="1"/>
    <x:col min="9" max="9" width="46" hidden="0" customWidth="1"/>
    <x:col min="10" max="10" width="12" hidden="0" customWidth="1"/>
    <x:col min="11" max="11" width="11" hidden="0" customWidth="1"/>
    <x:col min="12" max="12" width="12" hidden="0" customWidth="1"/>
    <x:col min="13" max="13" width="14" hidden="0" customWidth="1"/>
    <x:col min="14" max="14" width="42" hidden="0" customWidth="1"/>
    <x:col min="15" max="15" width="24" hidden="0" customWidth="1"/>
    <x:col min="16" max="16" width="13" hidden="0" customWidth="1"/>
    <x:col min="17" max="17" width="13" hidden="0" customWidth="1"/>
    <x:col min="18" max="18" width="11" hidden="0" customWidth="1"/>
    <x:col min="19" max="19" width="12" hidden="0" customWidth="1"/>
    <x:col min="20" max="20" width="14" hidden="0" customWidth="1"/>
    <x:col min="21" max="21" width="42" hidden="0" customWidth="1"/>
    <x:col min="22" max="22" width="30" hidden="0" customWidth="1"/>
  </x:cols>
  <x:sheetData>
    <x:row r="1" ht="34" customHeight="1">
      <x:c r="A1" s="6" t="str">
        <x:v>Architecture Risk Register – Selected Material Findings Only</x:v>
      </x:c>
      <x:c r="B1" s="6"/>
      <x:c r="C1" s="6"/>
      <x:c r="D1" s="6"/>
      <x:c r="E1" s="6"/>
      <x:c r="F1" s="6"/>
      <x:c r="G1" s="6"/>
      <x:c r="H1" s="6"/>
      <x:c r="I1" s="6"/>
      <x:c r="J1" s="6"/>
      <x:c r="K1" s="6"/>
      <x:c r="L1" s="6"/>
      <x:c r="M1" s="6"/>
      <x:c r="N1" s="6"/>
      <x:c r="O1" s="6"/>
      <x:c r="P1" s="6"/>
      <x:c r="Q1" s="6"/>
      <x:c r="R1" s="6"/>
      <x:c r="S1" s="6"/>
      <x:c r="T1" s="6"/>
      <x:c r="U1" s="6"/>
      <x:c r="V1" s="6"/>
    </x:row>
    <x:row r="2" ht="34" customHeight="1">
      <x:c r="A2" s="12" t="str">
        <x:v>Do not copy the complete catalog here. Create a row only after routing confirms applicability and assessment identifies a material Gap, Risk or Decision Required.</x:v>
      </x:c>
      <x:c r="B2" s="12"/>
      <x:c r="C2" s="12"/>
      <x:c r="D2" s="12"/>
      <x:c r="E2" s="12"/>
      <x:c r="F2" s="12"/>
      <x:c r="G2" s="12"/>
      <x:c r="H2" s="12"/>
      <x:c r="I2" s="12"/>
      <x:c r="J2" s="12"/>
      <x:c r="K2" s="12"/>
      <x:c r="L2" s="12"/>
      <x:c r="M2" s="12"/>
      <x:c r="N2" s="12"/>
      <x:c r="O2" s="12"/>
      <x:c r="P2" s="12"/>
      <x:c r="Q2" s="12"/>
      <x:c r="R2" s="12"/>
      <x:c r="S2" s="12"/>
      <x:c r="T2" s="12"/>
      <x:c r="U2" s="12"/>
      <x:c r="V2" s="12"/>
    </x:row>
    <x:row r="3">
      <x:c r="A3" s="2"/>
      <x:c r="B3" s="2"/>
      <x:c r="C3" s="2"/>
      <x:c r="D3" s="2"/>
      <x:c r="E3" s="2"/>
      <x:c r="F3" s="2"/>
      <x:c r="G3" s="2"/>
      <x:c r="H3" s="2"/>
      <x:c r="I3" s="2"/>
      <x:c r="J3" s="2"/>
      <x:c r="K3" s="2"/>
      <x:c r="L3" s="2"/>
      <x:c r="M3" s="2"/>
      <x:c r="N3" s="2"/>
      <x:c r="O3" s="2"/>
      <x:c r="P3" s="2"/>
      <x:c r="Q3" s="2"/>
      <x:c r="R3" s="2"/>
      <x:c r="S3" s="2"/>
      <x:c r="T3" s="2"/>
      <x:c r="U3" s="2"/>
      <x:c r="V3" s="2"/>
    </x:row>
    <x:row r="4" ht="30" customHeight="1">
      <x:c r="A4" s="35" t="str">
        <x:v>Solution Name</x:v>
      </x:c>
      <x:c r="B4" s="44" t="str"/>
      <x:c r="C4" s="45" t="str"/>
      <x:c r="D4" s="46" t="str"/>
      <x:c r="E4" s="35" t="str">
        <x:v>Vendor / Product</x:v>
      </x:c>
      <x:c r="F4" s="44" t="str"/>
      <x:c r="G4" s="45" t="str"/>
      <x:c r="H4" s="46" t="str"/>
      <x:c r="I4" s="35" t="str">
        <x:v>Primary Architecture Type</x:v>
      </x:c>
      <x:c r="J4" s="44" t="str">
        <x:f>IF('Solution Classification'!$B$5="","",'Solution Classification'!$B$5)</x:f>
      </x:c>
      <x:c r="K4" s="45" t="str"/>
      <x:c r="L4" s="46" t="str"/>
      <x:c r="M4" s="35" t="str">
        <x:v>Secondary Types</x:v>
      </x:c>
      <x:c r="N4" s="44" t="str">
        <x:f>IF('Solution Classification'!$J$5="","",'Solution Classification'!$J$5)</x:f>
      </x:c>
      <x:c r="O4" s="45" t="str"/>
      <x:c r="P4" s="46" t="str"/>
      <x:c r="Q4" s="35" t="str">
        <x:v>Scope / Facilities</x:v>
      </x:c>
      <x:c r="R4" s="44" t="str"/>
      <x:c r="S4" s="45" t="str"/>
      <x:c r="T4" s="45" t="str"/>
      <x:c r="U4" s="45" t="str"/>
      <x:c r="V4" s="46" t="str"/>
    </x:row>
    <x:row r="5" ht="30" customHeight="1">
      <x:c r="A5" s="35" t="str">
        <x:v>Architecture Owner</x:v>
      </x:c>
      <x:c r="B5" s="44" t="str"/>
      <x:c r="C5" s="45" t="str"/>
      <x:c r="D5" s="46" t="str"/>
      <x:c r="E5" s="35" t="str">
        <x:v>Business Owner</x:v>
      </x:c>
      <x:c r="F5" s="44" t="str"/>
      <x:c r="G5" s="45" t="str"/>
      <x:c r="H5" s="46" t="str"/>
      <x:c r="I5" s="35" t="str">
        <x:v>Review Date</x:v>
      </x:c>
      <x:c r="J5" s="47" t="str"/>
      <x:c r="K5" s="48" t="str"/>
      <x:c r="L5" s="49" t="str"/>
      <x:c r="M5" s="35" t="str">
        <x:v>Clinical / Business Criticality</x:v>
      </x:c>
      <x:c r="N5" s="44" t="str"/>
      <x:c r="O5" s="45" t="str"/>
      <x:c r="P5" s="46" t="str"/>
      <x:c r="Q5" s="35" t="str">
        <x:v>Data Classification</x:v>
      </x:c>
      <x:c r="R5" s="44" t="str"/>
      <x:c r="S5" s="45" t="str"/>
      <x:c r="T5" s="45" t="str"/>
      <x:c r="U5" s="45" t="str"/>
      <x:c r="V5" s="46" t="str"/>
    </x:row>
    <x:row r="6" ht="30" customHeight="1">
      <x:c r="A6" s="35" t="str">
        <x:v>Decision Gate</x:v>
      </x:c>
      <x:c r="B6" s="44" t="str"/>
      <x:c r="C6" s="45" t="str"/>
      <x:c r="D6" s="46" t="str"/>
      <x:c r="E6" s="35" t="str">
        <x:v>Assessment Mode</x:v>
      </x:c>
      <x:c r="F6" s="44" t="str"/>
      <x:c r="G6" s="45" t="str"/>
      <x:c r="H6" s="46" t="str"/>
      <x:c r="I6" s="35" t="str">
        <x:v>Classification Confidence</x:v>
      </x:c>
      <x:c r="J6" s="44" t="str">
        <x:f>IF('Solution Classification'!$B$6="","",'Solution Classification'!$B$6)</x:f>
      </x:c>
      <x:c r="K6" s="45" t="str"/>
      <x:c r="L6" s="46" t="str"/>
      <x:c r="M6" s="35" t="str">
        <x:v>Open Exceptions</x:v>
      </x:c>
      <x:c r="N6" s="44" t="str"/>
      <x:c r="O6" s="45" t="str"/>
      <x:c r="P6" s="46" t="str"/>
      <x:c r="Q6" s="35" t="str">
        <x:v>Assessment Status</x:v>
      </x:c>
      <x:c r="R6" s="44" t="str"/>
      <x:c r="S6" s="45" t="str"/>
      <x:c r="T6" s="45" t="str"/>
      <x:c r="U6" s="45" t="str"/>
      <x:c r="V6" s="46" t="str"/>
    </x:row>
    <x:row r="7">
      <x:c r="A7" s="2"/>
      <x:c r="B7" s="2"/>
      <x:c r="C7" s="2"/>
      <x:c r="D7" s="2"/>
      <x:c r="E7" s="2"/>
      <x:c r="F7" s="2"/>
      <x:c r="G7" s="2"/>
      <x:c r="H7" s="2"/>
      <x:c r="I7" s="2"/>
      <x:c r="J7" s="2"/>
      <x:c r="K7" s="2"/>
      <x:c r="L7" s="2"/>
      <x:c r="M7" s="2"/>
      <x:c r="N7" s="2"/>
      <x:c r="O7" s="2"/>
      <x:c r="P7" s="2"/>
      <x:c r="Q7" s="2"/>
      <x:c r="R7" s="2"/>
      <x:c r="S7" s="2"/>
      <x:c r="T7" s="2"/>
      <x:c r="U7" s="2"/>
      <x:c r="V7" s="2"/>
    </x:row>
    <x:row r="8">
      <x:c r="A8" s="15" t="str">
        <x:v>Material Findings</x:v>
      </x:c>
      <x:c r="B8" s="15"/>
      <x:c r="C8" s="15"/>
      <x:c r="D8" s="15"/>
      <x:c r="E8" s="15"/>
      <x:c r="F8" s="15" t="str">
        <x:v>High / Critical</x:v>
      </x:c>
      <x:c r="G8" s="15"/>
      <x:c r="H8" s="15"/>
      <x:c r="I8" s="15"/>
      <x:c r="J8" s="15"/>
      <x:c r="K8" s="15" t="str">
        <x:v>Decision Required</x:v>
      </x:c>
      <x:c r="L8" s="15"/>
      <x:c r="M8" s="15"/>
      <x:c r="N8" s="15"/>
      <x:c r="O8" s="15"/>
      <x:c r="P8" s="15" t="str">
        <x:v>Overdue Actions</x:v>
      </x:c>
      <x:c r="Q8" s="15"/>
      <x:c r="R8" s="15"/>
      <x:c r="S8" s="15"/>
      <x:c r="T8" s="15"/>
      <x:c r="U8" s="15"/>
      <x:c r="V8" s="15"/>
    </x:row>
    <x:row r="9">
      <x:c r="A9" s="184" t="n">
        <x:f>COUNTA($A$12:$A$71)</x:f>
        <x:v>0</x:v>
      </x:c>
      <x:c r="B9" s="185"/>
      <x:c r="C9" s="185"/>
      <x:c r="D9" s="185"/>
      <x:c r="E9" s="186"/>
      <x:c r="F9" s="184" t="n">
        <x:f>COUNTIF($M$12:$M$71,"High")+COUNTIF($M$12:$M$71,"Critical")</x:f>
        <x:v>0</x:v>
      </x:c>
      <x:c r="G9" s="185"/>
      <x:c r="H9" s="185"/>
      <x:c r="I9" s="185"/>
      <x:c r="J9" s="186"/>
      <x:c r="K9" s="184" t="n">
        <x:f>COUNTIF($H$12:$H$71,"Decision Required")</x:f>
        <x:v>0</x:v>
      </x:c>
      <x:c r="L9" s="185"/>
      <x:c r="M9" s="185"/>
      <x:c r="N9" s="185"/>
      <x:c r="O9" s="186"/>
      <x:c r="P9" s="187" t="str">
        <x:f>TEXT(COUNTIFS($P$12:$P$71,"&gt;0",$P$12:$P$71,"&lt;"&amp;TODAY(),$H$12:$H$71,"&lt;&gt;Closed"),"0")</x:f>
        <x:v>0</x:v>
      </x:c>
      <x:c r="Q9" s="188"/>
      <x:c r="R9" s="188"/>
      <x:c r="S9" s="188"/>
      <x:c r="T9" s="188"/>
      <x:c r="U9" s="188"/>
      <x:c r="V9" s="189"/>
    </x:row>
    <x:row r="10">
      <x:c r="A10" s="2"/>
      <x:c r="B10" s="2"/>
      <x:c r="C10" s="2"/>
      <x:c r="D10" s="2"/>
      <x:c r="E10" s="2"/>
      <x:c r="F10" s="2"/>
      <x:c r="G10" s="2"/>
      <x:c r="H10" s="2"/>
      <x:c r="I10" s="2"/>
      <x:c r="J10" s="2"/>
      <x:c r="K10" s="2"/>
      <x:c r="L10" s="2"/>
      <x:c r="M10" s="2"/>
      <x:c r="N10" s="2"/>
      <x:c r="O10" s="2"/>
      <x:c r="P10" s="2"/>
      <x:c r="Q10" s="2"/>
      <x:c r="R10" s="2"/>
      <x:c r="S10" s="2"/>
      <x:c r="T10" s="2"/>
      <x:c r="U10" s="2"/>
      <x:c r="V10" s="2"/>
    </x:row>
    <x:row r="11">
      <x:c r="A11" s="93" t="str">
        <x:v>Risk ID</x:v>
      </x:c>
      <x:c r="B11" s="93" t="str">
        <x:v>Source Scenario ID</x:v>
      </x:c>
      <x:c r="C11" s="93" t="str">
        <x:v>Selected Architecture Lens</x:v>
      </x:c>
      <x:c r="D11" s="93" t="str">
        <x:v>Architecture Domain</x:v>
      </x:c>
      <x:c r="E11" s="93" t="str">
        <x:v>Quality Attribute</x:v>
      </x:c>
      <x:c r="F11" s="93" t="str">
        <x:v>Why Applicable to This Design</x:v>
      </x:c>
      <x:c r="G11" s="93" t="str">
        <x:v>Current Design Evidence</x:v>
      </x:c>
      <x:c r="H11" s="93" t="str">
        <x:v>Assessment</x:v>
      </x:c>
      <x:c r="I11" s="93" t="str">
        <x:v>Risk / Decision Statement</x:v>
      </x:c>
      <x:c r="J11" s="93" t="str">
        <x:v>Likelihood (1–5)</x:v>
      </x:c>
      <x:c r="K11" s="93" t="str">
        <x:v>Impact (1–5)</x:v>
      </x:c>
      <x:c r="L11" s="93" t="str">
        <x:v>Inherent Score</x:v>
      </x:c>
      <x:c r="M11" s="93" t="str">
        <x:v>Inherent Level</x:v>
      </x:c>
      <x:c r="N11" s="93" t="str">
        <x:v>Treatment / Decision Needed</x:v>
      </x:c>
      <x:c r="O11" s="93" t="str">
        <x:v>Accountable Owner</x:v>
      </x:c>
      <x:c r="P11" s="93" t="str">
        <x:v>Target Date</x:v>
      </x:c>
      <x:c r="Q11" s="93" t="str">
        <x:v>Residual Likelihood</x:v>
      </x:c>
      <x:c r="R11" s="93" t="str">
        <x:v>Residual Impact</x:v>
      </x:c>
      <x:c r="S11" s="93" t="str">
        <x:v>Residual Score</x:v>
      </x:c>
      <x:c r="T11" s="93" t="str">
        <x:v>Residual Level</x:v>
      </x:c>
      <x:c r="U11" s="93" t="str">
        <x:v>Closure Evidence / Acceptance Criteria</x:v>
      </x:c>
      <x:c r="V11" s="93" t="str">
        <x:v>Related DD / ADR / CMP / EX IDs</x:v>
      </x:c>
    </x:row>
    <x:row r="12" ht="62" customHeight="1">
      <x:c r="A12" s="98"/>
      <x:c r="B12" s="98"/>
      <x:c r="C12" s="98"/>
      <x:c r="D12" s="98"/>
      <x:c r="E12" s="98"/>
      <x:c r="F12" s="98"/>
      <x:c r="G12" s="98"/>
      <x:c r="H12" s="98"/>
      <x:c r="I12" s="98"/>
      <x:c r="J12" s="178"/>
      <x:c r="K12" s="178"/>
      <x:c r="L12" s="178" t="str">
        <x:f>IF(OR(A12="",J12="",K12=""),"",J12*K12)</x:f>
      </x:c>
      <x:c r="M12" s="178" t="str">
        <x:f>IF(L12="","",IF(L12&gt;='Scoring &amp; Guidance'!$I$7,'Scoring &amp; Guidance'!$H$7,IF(L12&gt;='Scoring &amp; Guidance'!$I$6,'Scoring &amp; Guidance'!$H$6,IF(L12&gt;='Scoring &amp; Guidance'!$I$5,'Scoring &amp; Guidance'!$H$5,'Scoring &amp; Guidance'!$H$4))))</x:f>
      </x:c>
      <x:c r="N12" s="98"/>
      <x:c r="O12" s="98"/>
      <x:c r="P12" s="190"/>
      <x:c r="Q12" s="98"/>
      <x:c r="R12" s="98"/>
      <x:c r="S12" s="178" t="str">
        <x:f>IF(OR(A12="",Q12="",R12=""),"",Q12*R12)</x:f>
      </x:c>
      <x:c r="T12" s="178" t="str">
        <x:f>IF(S12="","",IF(S12&gt;='Scoring &amp; Guidance'!$I$7,'Scoring &amp; Guidance'!$H$7,IF(S12&gt;='Scoring &amp; Guidance'!$I$6,'Scoring &amp; Guidance'!$H$6,IF(S12&gt;='Scoring &amp; Guidance'!$I$5,'Scoring &amp; Guidance'!$H$5,'Scoring &amp; Guidance'!$H$4))))</x:f>
      </x:c>
      <x:c r="U12" s="98"/>
      <x:c r="V12" s="98"/>
    </x:row>
    <x:row r="13" ht="62" customHeight="1">
      <x:c r="A13" s="179"/>
      <x:c r="B13" s="179"/>
      <x:c r="C13" s="179"/>
      <x:c r="D13" s="179"/>
      <x:c r="E13" s="179"/>
      <x:c r="F13" s="179"/>
      <x:c r="G13" s="179"/>
      <x:c r="H13" s="179"/>
      <x:c r="I13" s="179"/>
      <x:c r="J13" s="63"/>
      <x:c r="K13" s="63"/>
      <x:c r="L13" s="63" t="str">
        <x:f>IF(OR(A13="",J13="",K13=""),"",J13*K13)</x:f>
      </x:c>
      <x:c r="M13" s="63" t="str">
        <x:f>IF(L13="","",IF(L13&gt;='Scoring &amp; Guidance'!$I$7,'Scoring &amp; Guidance'!$H$7,IF(L13&gt;='Scoring &amp; Guidance'!$I$6,'Scoring &amp; Guidance'!$H$6,IF(L13&gt;='Scoring &amp; Guidance'!$I$5,'Scoring &amp; Guidance'!$H$5,'Scoring &amp; Guidance'!$H$4))))</x:f>
      </x:c>
      <x:c r="N13" s="179"/>
      <x:c r="O13" s="179"/>
      <x:c r="P13" s="191"/>
      <x:c r="Q13" s="179"/>
      <x:c r="R13" s="179"/>
      <x:c r="S13" s="63" t="str">
        <x:f>IF(OR(A13="",Q13="",R13=""),"",Q13*R13)</x:f>
      </x:c>
      <x:c r="T13" s="63" t="str">
        <x:f>IF(S13="","",IF(S13&gt;='Scoring &amp; Guidance'!$I$7,'Scoring &amp; Guidance'!$H$7,IF(S13&gt;='Scoring &amp; Guidance'!$I$6,'Scoring &amp; Guidance'!$H$6,IF(S13&gt;='Scoring &amp; Guidance'!$I$5,'Scoring &amp; Guidance'!$H$5,'Scoring &amp; Guidance'!$H$4))))</x:f>
      </x:c>
      <x:c r="U13" s="179"/>
      <x:c r="V13" s="179"/>
    </x:row>
    <x:row r="14" ht="62" customHeight="1">
      <x:c r="A14" s="179"/>
      <x:c r="B14" s="179"/>
      <x:c r="C14" s="179"/>
      <x:c r="D14" s="179"/>
      <x:c r="E14" s="179"/>
      <x:c r="F14" s="179"/>
      <x:c r="G14" s="179"/>
      <x:c r="H14" s="179"/>
      <x:c r="I14" s="179"/>
      <x:c r="J14" s="63"/>
      <x:c r="K14" s="63"/>
      <x:c r="L14" s="63" t="str">
        <x:f>IF(OR(A14="",J14="",K14=""),"",J14*K14)</x:f>
      </x:c>
      <x:c r="M14" s="63" t="str">
        <x:f>IF(L14="","",IF(L14&gt;='Scoring &amp; Guidance'!$I$7,'Scoring &amp; Guidance'!$H$7,IF(L14&gt;='Scoring &amp; Guidance'!$I$6,'Scoring &amp; Guidance'!$H$6,IF(L14&gt;='Scoring &amp; Guidance'!$I$5,'Scoring &amp; Guidance'!$H$5,'Scoring &amp; Guidance'!$H$4))))</x:f>
      </x:c>
      <x:c r="N14" s="179"/>
      <x:c r="O14" s="179"/>
      <x:c r="P14" s="191"/>
      <x:c r="Q14" s="179"/>
      <x:c r="R14" s="179"/>
      <x:c r="S14" s="63" t="str">
        <x:f>IF(OR(A14="",Q14="",R14=""),"",Q14*R14)</x:f>
      </x:c>
      <x:c r="T14" s="63" t="str">
        <x:f>IF(S14="","",IF(S14&gt;='Scoring &amp; Guidance'!$I$7,'Scoring &amp; Guidance'!$H$7,IF(S14&gt;='Scoring &amp; Guidance'!$I$6,'Scoring &amp; Guidance'!$H$6,IF(S14&gt;='Scoring &amp; Guidance'!$I$5,'Scoring &amp; Guidance'!$H$5,'Scoring &amp; Guidance'!$H$4))))</x:f>
      </x:c>
      <x:c r="U14" s="179"/>
      <x:c r="V14" s="179"/>
    </x:row>
    <x:row r="15" ht="62" customHeight="1">
      <x:c r="A15" s="179"/>
      <x:c r="B15" s="179"/>
      <x:c r="C15" s="179"/>
      <x:c r="D15" s="179"/>
      <x:c r="E15" s="179"/>
      <x:c r="F15" s="179"/>
      <x:c r="G15" s="179"/>
      <x:c r="H15" s="179"/>
      <x:c r="I15" s="179"/>
      <x:c r="J15" s="63"/>
      <x:c r="K15" s="63"/>
      <x:c r="L15" s="63" t="str">
        <x:f>IF(OR(A15="",J15="",K15=""),"",J15*K15)</x:f>
      </x:c>
      <x:c r="M15" s="63" t="str">
        <x:f>IF(L15="","",IF(L15&gt;='Scoring &amp; Guidance'!$I$7,'Scoring &amp; Guidance'!$H$7,IF(L15&gt;='Scoring &amp; Guidance'!$I$6,'Scoring &amp; Guidance'!$H$6,IF(L15&gt;='Scoring &amp; Guidance'!$I$5,'Scoring &amp; Guidance'!$H$5,'Scoring &amp; Guidance'!$H$4))))</x:f>
      </x:c>
      <x:c r="N15" s="179"/>
      <x:c r="O15" s="179"/>
      <x:c r="P15" s="191"/>
      <x:c r="Q15" s="179"/>
      <x:c r="R15" s="179"/>
      <x:c r="S15" s="63" t="str">
        <x:f>IF(OR(A15="",Q15="",R15=""),"",Q15*R15)</x:f>
      </x:c>
      <x:c r="T15" s="63" t="str">
        <x:f>IF(S15="","",IF(S15&gt;='Scoring &amp; Guidance'!$I$7,'Scoring &amp; Guidance'!$H$7,IF(S15&gt;='Scoring &amp; Guidance'!$I$6,'Scoring &amp; Guidance'!$H$6,IF(S15&gt;='Scoring &amp; Guidance'!$I$5,'Scoring &amp; Guidance'!$H$5,'Scoring &amp; Guidance'!$H$4))))</x:f>
      </x:c>
      <x:c r="U15" s="179"/>
      <x:c r="V15" s="179"/>
    </x:row>
    <x:row r="16" ht="62" customHeight="1">
      <x:c r="A16" s="179"/>
      <x:c r="B16" s="179"/>
      <x:c r="C16" s="179"/>
      <x:c r="D16" s="179"/>
      <x:c r="E16" s="179"/>
      <x:c r="F16" s="179"/>
      <x:c r="G16" s="179"/>
      <x:c r="H16" s="179"/>
      <x:c r="I16" s="179"/>
      <x:c r="J16" s="63"/>
      <x:c r="K16" s="63"/>
      <x:c r="L16" s="63" t="str">
        <x:f>IF(OR(A16="",J16="",K16=""),"",J16*K16)</x:f>
      </x:c>
      <x:c r="M16" s="63" t="str">
        <x:f>IF(L16="","",IF(L16&gt;='Scoring &amp; Guidance'!$I$7,'Scoring &amp; Guidance'!$H$7,IF(L16&gt;='Scoring &amp; Guidance'!$I$6,'Scoring &amp; Guidance'!$H$6,IF(L16&gt;='Scoring &amp; Guidance'!$I$5,'Scoring &amp; Guidance'!$H$5,'Scoring &amp; Guidance'!$H$4))))</x:f>
      </x:c>
      <x:c r="N16" s="179"/>
      <x:c r="O16" s="179"/>
      <x:c r="P16" s="191"/>
      <x:c r="Q16" s="179"/>
      <x:c r="R16" s="179"/>
      <x:c r="S16" s="63" t="str">
        <x:f>IF(OR(A16="",Q16="",R16=""),"",Q16*R16)</x:f>
      </x:c>
      <x:c r="T16" s="63" t="str">
        <x:f>IF(S16="","",IF(S16&gt;='Scoring &amp; Guidance'!$I$7,'Scoring &amp; Guidance'!$H$7,IF(S16&gt;='Scoring &amp; Guidance'!$I$6,'Scoring &amp; Guidance'!$H$6,IF(S16&gt;='Scoring &amp; Guidance'!$I$5,'Scoring &amp; Guidance'!$H$5,'Scoring &amp; Guidance'!$H$4))))</x:f>
      </x:c>
      <x:c r="U16" s="179"/>
      <x:c r="V16" s="179"/>
    </x:row>
    <x:row r="17" ht="62" customHeight="1">
      <x:c r="A17" s="179"/>
      <x:c r="B17" s="179"/>
      <x:c r="C17" s="179"/>
      <x:c r="D17" s="179"/>
      <x:c r="E17" s="179"/>
      <x:c r="F17" s="179"/>
      <x:c r="G17" s="179"/>
      <x:c r="H17" s="179"/>
      <x:c r="I17" s="179"/>
      <x:c r="J17" s="63"/>
      <x:c r="K17" s="63"/>
      <x:c r="L17" s="63" t="str">
        <x:f>IF(OR(A17="",J17="",K17=""),"",J17*K17)</x:f>
      </x:c>
      <x:c r="M17" s="63" t="str">
        <x:f>IF(L17="","",IF(L17&gt;='Scoring &amp; Guidance'!$I$7,'Scoring &amp; Guidance'!$H$7,IF(L17&gt;='Scoring &amp; Guidance'!$I$6,'Scoring &amp; Guidance'!$H$6,IF(L17&gt;='Scoring &amp; Guidance'!$I$5,'Scoring &amp; Guidance'!$H$5,'Scoring &amp; Guidance'!$H$4))))</x:f>
      </x:c>
      <x:c r="N17" s="179"/>
      <x:c r="O17" s="179"/>
      <x:c r="P17" s="191"/>
      <x:c r="Q17" s="179"/>
      <x:c r="R17" s="179"/>
      <x:c r="S17" s="63" t="str">
        <x:f>IF(OR(A17="",Q17="",R17=""),"",Q17*R17)</x:f>
      </x:c>
      <x:c r="T17" s="63" t="str">
        <x:f>IF(S17="","",IF(S17&gt;='Scoring &amp; Guidance'!$I$7,'Scoring &amp; Guidance'!$H$7,IF(S17&gt;='Scoring &amp; Guidance'!$I$6,'Scoring &amp; Guidance'!$H$6,IF(S17&gt;='Scoring &amp; Guidance'!$I$5,'Scoring &amp; Guidance'!$H$5,'Scoring &amp; Guidance'!$H$4))))</x:f>
      </x:c>
      <x:c r="U17" s="179"/>
      <x:c r="V17" s="179"/>
    </x:row>
    <x:row r="18" ht="62" customHeight="1">
      <x:c r="A18" s="179"/>
      <x:c r="B18" s="179"/>
      <x:c r="C18" s="179"/>
      <x:c r="D18" s="179"/>
      <x:c r="E18" s="179"/>
      <x:c r="F18" s="179"/>
      <x:c r="G18" s="179"/>
      <x:c r="H18" s="179"/>
      <x:c r="I18" s="179"/>
      <x:c r="J18" s="63"/>
      <x:c r="K18" s="63"/>
      <x:c r="L18" s="63" t="str">
        <x:f>IF(OR(A18="",J18="",K18=""),"",J18*K18)</x:f>
      </x:c>
      <x:c r="M18" s="63" t="str">
        <x:f>IF(L18="","",IF(L18&gt;='Scoring &amp; Guidance'!$I$7,'Scoring &amp; Guidance'!$H$7,IF(L18&gt;='Scoring &amp; Guidance'!$I$6,'Scoring &amp; Guidance'!$H$6,IF(L18&gt;='Scoring &amp; Guidance'!$I$5,'Scoring &amp; Guidance'!$H$5,'Scoring &amp; Guidance'!$H$4))))</x:f>
      </x:c>
      <x:c r="N18" s="179"/>
      <x:c r="O18" s="179"/>
      <x:c r="P18" s="191"/>
      <x:c r="Q18" s="179"/>
      <x:c r="R18" s="179"/>
      <x:c r="S18" s="63" t="str">
        <x:f>IF(OR(A18="",Q18="",R18=""),"",Q18*R18)</x:f>
      </x:c>
      <x:c r="T18" s="63" t="str">
        <x:f>IF(S18="","",IF(S18&gt;='Scoring &amp; Guidance'!$I$7,'Scoring &amp; Guidance'!$H$7,IF(S18&gt;='Scoring &amp; Guidance'!$I$6,'Scoring &amp; Guidance'!$H$6,IF(S18&gt;='Scoring &amp; Guidance'!$I$5,'Scoring &amp; Guidance'!$H$5,'Scoring &amp; Guidance'!$H$4))))</x:f>
      </x:c>
      <x:c r="U18" s="179"/>
      <x:c r="V18" s="179"/>
    </x:row>
    <x:row r="19" ht="62" customHeight="1">
      <x:c r="A19" s="179"/>
      <x:c r="B19" s="179"/>
      <x:c r="C19" s="179"/>
      <x:c r="D19" s="179"/>
      <x:c r="E19" s="179"/>
      <x:c r="F19" s="179"/>
      <x:c r="G19" s="179"/>
      <x:c r="H19" s="179"/>
      <x:c r="I19" s="179"/>
      <x:c r="J19" s="63"/>
      <x:c r="K19" s="63"/>
      <x:c r="L19" s="63" t="str">
        <x:f>IF(OR(A19="",J19="",K19=""),"",J19*K19)</x:f>
      </x:c>
      <x:c r="M19" s="63" t="str">
        <x:f>IF(L19="","",IF(L19&gt;='Scoring &amp; Guidance'!$I$7,'Scoring &amp; Guidance'!$H$7,IF(L19&gt;='Scoring &amp; Guidance'!$I$6,'Scoring &amp; Guidance'!$H$6,IF(L19&gt;='Scoring &amp; Guidance'!$I$5,'Scoring &amp; Guidance'!$H$5,'Scoring &amp; Guidance'!$H$4))))</x:f>
      </x:c>
      <x:c r="N19" s="179"/>
      <x:c r="O19" s="179"/>
      <x:c r="P19" s="191"/>
      <x:c r="Q19" s="179"/>
      <x:c r="R19" s="179"/>
      <x:c r="S19" s="63" t="str">
        <x:f>IF(OR(A19="",Q19="",R19=""),"",Q19*R19)</x:f>
      </x:c>
      <x:c r="T19" s="63" t="str">
        <x:f>IF(S19="","",IF(S19&gt;='Scoring &amp; Guidance'!$I$7,'Scoring &amp; Guidance'!$H$7,IF(S19&gt;='Scoring &amp; Guidance'!$I$6,'Scoring &amp; Guidance'!$H$6,IF(S19&gt;='Scoring &amp; Guidance'!$I$5,'Scoring &amp; Guidance'!$H$5,'Scoring &amp; Guidance'!$H$4))))</x:f>
      </x:c>
      <x:c r="U19" s="179"/>
      <x:c r="V19" s="179"/>
    </x:row>
    <x:row r="20" ht="62" customHeight="1">
      <x:c r="A20" s="179"/>
      <x:c r="B20" s="179"/>
      <x:c r="C20" s="179"/>
      <x:c r="D20" s="179"/>
      <x:c r="E20" s="179"/>
      <x:c r="F20" s="179"/>
      <x:c r="G20" s="179"/>
      <x:c r="H20" s="179"/>
      <x:c r="I20" s="179"/>
      <x:c r="J20" s="63"/>
      <x:c r="K20" s="63"/>
      <x:c r="L20" s="63" t="str">
        <x:f>IF(OR(A20="",J20="",K20=""),"",J20*K20)</x:f>
      </x:c>
      <x:c r="M20" s="63" t="str">
        <x:f>IF(L20="","",IF(L20&gt;='Scoring &amp; Guidance'!$I$7,'Scoring &amp; Guidance'!$H$7,IF(L20&gt;='Scoring &amp; Guidance'!$I$6,'Scoring &amp; Guidance'!$H$6,IF(L20&gt;='Scoring &amp; Guidance'!$I$5,'Scoring &amp; Guidance'!$H$5,'Scoring &amp; Guidance'!$H$4))))</x:f>
      </x:c>
      <x:c r="N20" s="179"/>
      <x:c r="O20" s="179"/>
      <x:c r="P20" s="191"/>
      <x:c r="Q20" s="179"/>
      <x:c r="R20" s="179"/>
      <x:c r="S20" s="63" t="str">
        <x:f>IF(OR(A20="",Q20="",R20=""),"",Q20*R20)</x:f>
      </x:c>
      <x:c r="T20" s="63" t="str">
        <x:f>IF(S20="","",IF(S20&gt;='Scoring &amp; Guidance'!$I$7,'Scoring &amp; Guidance'!$H$7,IF(S20&gt;='Scoring &amp; Guidance'!$I$6,'Scoring &amp; Guidance'!$H$6,IF(S20&gt;='Scoring &amp; Guidance'!$I$5,'Scoring &amp; Guidance'!$H$5,'Scoring &amp; Guidance'!$H$4))))</x:f>
      </x:c>
      <x:c r="U20" s="179"/>
      <x:c r="V20" s="179"/>
    </x:row>
    <x:row r="21" ht="62" customHeight="1">
      <x:c r="A21" s="179"/>
      <x:c r="B21" s="179"/>
      <x:c r="C21" s="179"/>
      <x:c r="D21" s="179"/>
      <x:c r="E21" s="179"/>
      <x:c r="F21" s="179"/>
      <x:c r="G21" s="179"/>
      <x:c r="H21" s="179"/>
      <x:c r="I21" s="179"/>
      <x:c r="J21" s="63"/>
      <x:c r="K21" s="63"/>
      <x:c r="L21" s="63" t="str">
        <x:f>IF(OR(A21="",J21="",K21=""),"",J21*K21)</x:f>
      </x:c>
      <x:c r="M21" s="63" t="str">
        <x:f>IF(L21="","",IF(L21&gt;='Scoring &amp; Guidance'!$I$7,'Scoring &amp; Guidance'!$H$7,IF(L21&gt;='Scoring &amp; Guidance'!$I$6,'Scoring &amp; Guidance'!$H$6,IF(L21&gt;='Scoring &amp; Guidance'!$I$5,'Scoring &amp; Guidance'!$H$5,'Scoring &amp; Guidance'!$H$4))))</x:f>
      </x:c>
      <x:c r="N21" s="179"/>
      <x:c r="O21" s="179"/>
      <x:c r="P21" s="191"/>
      <x:c r="Q21" s="179"/>
      <x:c r="R21" s="179"/>
      <x:c r="S21" s="63" t="str">
        <x:f>IF(OR(A21="",Q21="",R21=""),"",Q21*R21)</x:f>
      </x:c>
      <x:c r="T21" s="63" t="str">
        <x:f>IF(S21="","",IF(S21&gt;='Scoring &amp; Guidance'!$I$7,'Scoring &amp; Guidance'!$H$7,IF(S21&gt;='Scoring &amp; Guidance'!$I$6,'Scoring &amp; Guidance'!$H$6,IF(S21&gt;='Scoring &amp; Guidance'!$I$5,'Scoring &amp; Guidance'!$H$5,'Scoring &amp; Guidance'!$H$4))))</x:f>
      </x:c>
      <x:c r="U21" s="179"/>
      <x:c r="V21" s="179"/>
    </x:row>
    <x:row r="22" ht="62" customHeight="1">
      <x:c r="A22" s="179"/>
      <x:c r="B22" s="179"/>
      <x:c r="C22" s="179"/>
      <x:c r="D22" s="179"/>
      <x:c r="E22" s="179"/>
      <x:c r="F22" s="179"/>
      <x:c r="G22" s="179"/>
      <x:c r="H22" s="179"/>
      <x:c r="I22" s="179"/>
      <x:c r="J22" s="63"/>
      <x:c r="K22" s="63"/>
      <x:c r="L22" s="63" t="str">
        <x:f>IF(OR(A22="",J22="",K22=""),"",J22*K22)</x:f>
      </x:c>
      <x:c r="M22" s="63" t="str">
        <x:f>IF(L22="","",IF(L22&gt;='Scoring &amp; Guidance'!$I$7,'Scoring &amp; Guidance'!$H$7,IF(L22&gt;='Scoring &amp; Guidance'!$I$6,'Scoring &amp; Guidance'!$H$6,IF(L22&gt;='Scoring &amp; Guidance'!$I$5,'Scoring &amp; Guidance'!$H$5,'Scoring &amp; Guidance'!$H$4))))</x:f>
      </x:c>
      <x:c r="N22" s="179"/>
      <x:c r="O22" s="179"/>
      <x:c r="P22" s="191"/>
      <x:c r="Q22" s="179"/>
      <x:c r="R22" s="179"/>
      <x:c r="S22" s="63" t="str">
        <x:f>IF(OR(A22="",Q22="",R22=""),"",Q22*R22)</x:f>
      </x:c>
      <x:c r="T22" s="63" t="str">
        <x:f>IF(S22="","",IF(S22&gt;='Scoring &amp; Guidance'!$I$7,'Scoring &amp; Guidance'!$H$7,IF(S22&gt;='Scoring &amp; Guidance'!$I$6,'Scoring &amp; Guidance'!$H$6,IF(S22&gt;='Scoring &amp; Guidance'!$I$5,'Scoring &amp; Guidance'!$H$5,'Scoring &amp; Guidance'!$H$4))))</x:f>
      </x:c>
      <x:c r="U22" s="179"/>
      <x:c r="V22" s="179"/>
    </x:row>
    <x:row r="23" ht="62" customHeight="1">
      <x:c r="A23" s="179"/>
      <x:c r="B23" s="179"/>
      <x:c r="C23" s="179"/>
      <x:c r="D23" s="179"/>
      <x:c r="E23" s="179"/>
      <x:c r="F23" s="179"/>
      <x:c r="G23" s="179"/>
      <x:c r="H23" s="179"/>
      <x:c r="I23" s="179"/>
      <x:c r="J23" s="63"/>
      <x:c r="K23" s="63"/>
      <x:c r="L23" s="63" t="str">
        <x:f>IF(OR(A23="",J23="",K23=""),"",J23*K23)</x:f>
      </x:c>
      <x:c r="M23" s="63" t="str">
        <x:f>IF(L23="","",IF(L23&gt;='Scoring &amp; Guidance'!$I$7,'Scoring &amp; Guidance'!$H$7,IF(L23&gt;='Scoring &amp; Guidance'!$I$6,'Scoring &amp; Guidance'!$H$6,IF(L23&gt;='Scoring &amp; Guidance'!$I$5,'Scoring &amp; Guidance'!$H$5,'Scoring &amp; Guidance'!$H$4))))</x:f>
      </x:c>
      <x:c r="N23" s="179"/>
      <x:c r="O23" s="179"/>
      <x:c r="P23" s="191"/>
      <x:c r="Q23" s="179"/>
      <x:c r="R23" s="179"/>
      <x:c r="S23" s="63" t="str">
        <x:f>IF(OR(A23="",Q23="",R23=""),"",Q23*R23)</x:f>
      </x:c>
      <x:c r="T23" s="63" t="str">
        <x:f>IF(S23="","",IF(S23&gt;='Scoring &amp; Guidance'!$I$7,'Scoring &amp; Guidance'!$H$7,IF(S23&gt;='Scoring &amp; Guidance'!$I$6,'Scoring &amp; Guidance'!$H$6,IF(S23&gt;='Scoring &amp; Guidance'!$I$5,'Scoring &amp; Guidance'!$H$5,'Scoring &amp; Guidance'!$H$4))))</x:f>
      </x:c>
      <x:c r="U23" s="179"/>
      <x:c r="V23" s="179"/>
    </x:row>
    <x:row r="24" ht="62" customHeight="1">
      <x:c r="A24" s="179"/>
      <x:c r="B24" s="179"/>
      <x:c r="C24" s="179"/>
      <x:c r="D24" s="179"/>
      <x:c r="E24" s="179"/>
      <x:c r="F24" s="179"/>
      <x:c r="G24" s="179"/>
      <x:c r="H24" s="179"/>
      <x:c r="I24" s="179"/>
      <x:c r="J24" s="63"/>
      <x:c r="K24" s="63"/>
      <x:c r="L24" s="63" t="str">
        <x:f>IF(OR(A24="",J24="",K24=""),"",J24*K24)</x:f>
      </x:c>
      <x:c r="M24" s="63" t="str">
        <x:f>IF(L24="","",IF(L24&gt;='Scoring &amp; Guidance'!$I$7,'Scoring &amp; Guidance'!$H$7,IF(L24&gt;='Scoring &amp; Guidance'!$I$6,'Scoring &amp; Guidance'!$H$6,IF(L24&gt;='Scoring &amp; Guidance'!$I$5,'Scoring &amp; Guidance'!$H$5,'Scoring &amp; Guidance'!$H$4))))</x:f>
      </x:c>
      <x:c r="N24" s="179"/>
      <x:c r="O24" s="179"/>
      <x:c r="P24" s="191"/>
      <x:c r="Q24" s="179"/>
      <x:c r="R24" s="179"/>
      <x:c r="S24" s="63" t="str">
        <x:f>IF(OR(A24="",Q24="",R24=""),"",Q24*R24)</x:f>
      </x:c>
      <x:c r="T24" s="63" t="str">
        <x:f>IF(S24="","",IF(S24&gt;='Scoring &amp; Guidance'!$I$7,'Scoring &amp; Guidance'!$H$7,IF(S24&gt;='Scoring &amp; Guidance'!$I$6,'Scoring &amp; Guidance'!$H$6,IF(S24&gt;='Scoring &amp; Guidance'!$I$5,'Scoring &amp; Guidance'!$H$5,'Scoring &amp; Guidance'!$H$4))))</x:f>
      </x:c>
      <x:c r="U24" s="179"/>
      <x:c r="V24" s="179"/>
    </x:row>
    <x:row r="25" ht="62" customHeight="1">
      <x:c r="A25" s="179"/>
      <x:c r="B25" s="179"/>
      <x:c r="C25" s="179"/>
      <x:c r="D25" s="179"/>
      <x:c r="E25" s="179"/>
      <x:c r="F25" s="179"/>
      <x:c r="G25" s="179"/>
      <x:c r="H25" s="179"/>
      <x:c r="I25" s="179"/>
      <x:c r="J25" s="63"/>
      <x:c r="K25" s="63"/>
      <x:c r="L25" s="63" t="str">
        <x:f>IF(OR(A25="",J25="",K25=""),"",J25*K25)</x:f>
      </x:c>
      <x:c r="M25" s="63" t="str">
        <x:f>IF(L25="","",IF(L25&gt;='Scoring &amp; Guidance'!$I$7,'Scoring &amp; Guidance'!$H$7,IF(L25&gt;='Scoring &amp; Guidance'!$I$6,'Scoring &amp; Guidance'!$H$6,IF(L25&gt;='Scoring &amp; Guidance'!$I$5,'Scoring &amp; Guidance'!$H$5,'Scoring &amp; Guidance'!$H$4))))</x:f>
      </x:c>
      <x:c r="N25" s="179"/>
      <x:c r="O25" s="179"/>
      <x:c r="P25" s="191"/>
      <x:c r="Q25" s="179"/>
      <x:c r="R25" s="179"/>
      <x:c r="S25" s="63" t="str">
        <x:f>IF(OR(A25="",Q25="",R25=""),"",Q25*R25)</x:f>
      </x:c>
      <x:c r="T25" s="63" t="str">
        <x:f>IF(S25="","",IF(S25&gt;='Scoring &amp; Guidance'!$I$7,'Scoring &amp; Guidance'!$H$7,IF(S25&gt;='Scoring &amp; Guidance'!$I$6,'Scoring &amp; Guidance'!$H$6,IF(S25&gt;='Scoring &amp; Guidance'!$I$5,'Scoring &amp; Guidance'!$H$5,'Scoring &amp; Guidance'!$H$4))))</x:f>
      </x:c>
      <x:c r="U25" s="179"/>
      <x:c r="V25" s="179"/>
    </x:row>
    <x:row r="26" ht="62" customHeight="1">
      <x:c r="A26" s="179"/>
      <x:c r="B26" s="179"/>
      <x:c r="C26" s="179"/>
      <x:c r="D26" s="179"/>
      <x:c r="E26" s="179"/>
      <x:c r="F26" s="179"/>
      <x:c r="G26" s="179"/>
      <x:c r="H26" s="179"/>
      <x:c r="I26" s="179"/>
      <x:c r="J26" s="63"/>
      <x:c r="K26" s="63"/>
      <x:c r="L26" s="63" t="str">
        <x:f>IF(OR(A26="",J26="",K26=""),"",J26*K26)</x:f>
      </x:c>
      <x:c r="M26" s="63" t="str">
        <x:f>IF(L26="","",IF(L26&gt;='Scoring &amp; Guidance'!$I$7,'Scoring &amp; Guidance'!$H$7,IF(L26&gt;='Scoring &amp; Guidance'!$I$6,'Scoring &amp; Guidance'!$H$6,IF(L26&gt;='Scoring &amp; Guidance'!$I$5,'Scoring &amp; Guidance'!$H$5,'Scoring &amp; Guidance'!$H$4))))</x:f>
      </x:c>
      <x:c r="N26" s="179"/>
      <x:c r="O26" s="179"/>
      <x:c r="P26" s="191"/>
      <x:c r="Q26" s="179"/>
      <x:c r="R26" s="179"/>
      <x:c r="S26" s="63" t="str">
        <x:f>IF(OR(A26="",Q26="",R26=""),"",Q26*R26)</x:f>
      </x:c>
      <x:c r="T26" s="63" t="str">
        <x:f>IF(S26="","",IF(S26&gt;='Scoring &amp; Guidance'!$I$7,'Scoring &amp; Guidance'!$H$7,IF(S26&gt;='Scoring &amp; Guidance'!$I$6,'Scoring &amp; Guidance'!$H$6,IF(S26&gt;='Scoring &amp; Guidance'!$I$5,'Scoring &amp; Guidance'!$H$5,'Scoring &amp; Guidance'!$H$4))))</x:f>
      </x:c>
      <x:c r="U26" s="179"/>
      <x:c r="V26" s="179"/>
    </x:row>
    <x:row r="27" ht="62" customHeight="1">
      <x:c r="A27" s="179"/>
      <x:c r="B27" s="179"/>
      <x:c r="C27" s="179"/>
      <x:c r="D27" s="179"/>
      <x:c r="E27" s="179"/>
      <x:c r="F27" s="179"/>
      <x:c r="G27" s="179"/>
      <x:c r="H27" s="179"/>
      <x:c r="I27" s="179"/>
      <x:c r="J27" s="63"/>
      <x:c r="K27" s="63"/>
      <x:c r="L27" s="63" t="str">
        <x:f>IF(OR(A27="",J27="",K27=""),"",J27*K27)</x:f>
      </x:c>
      <x:c r="M27" s="63" t="str">
        <x:f>IF(L27="","",IF(L27&gt;='Scoring &amp; Guidance'!$I$7,'Scoring &amp; Guidance'!$H$7,IF(L27&gt;='Scoring &amp; Guidance'!$I$6,'Scoring &amp; Guidance'!$H$6,IF(L27&gt;='Scoring &amp; Guidance'!$I$5,'Scoring &amp; Guidance'!$H$5,'Scoring &amp; Guidance'!$H$4))))</x:f>
      </x:c>
      <x:c r="N27" s="179"/>
      <x:c r="O27" s="179"/>
      <x:c r="P27" s="191"/>
      <x:c r="Q27" s="179"/>
      <x:c r="R27" s="179"/>
      <x:c r="S27" s="63" t="str">
        <x:f>IF(OR(A27="",Q27="",R27=""),"",Q27*R27)</x:f>
      </x:c>
      <x:c r="T27" s="63" t="str">
        <x:f>IF(S27="","",IF(S27&gt;='Scoring &amp; Guidance'!$I$7,'Scoring &amp; Guidance'!$H$7,IF(S27&gt;='Scoring &amp; Guidance'!$I$6,'Scoring &amp; Guidance'!$H$6,IF(S27&gt;='Scoring &amp; Guidance'!$I$5,'Scoring &amp; Guidance'!$H$5,'Scoring &amp; Guidance'!$H$4))))</x:f>
      </x:c>
      <x:c r="U27" s="179"/>
      <x:c r="V27" s="179"/>
    </x:row>
    <x:row r="28" ht="62" customHeight="1">
      <x:c r="A28" s="179"/>
      <x:c r="B28" s="179"/>
      <x:c r="C28" s="179"/>
      <x:c r="D28" s="179"/>
      <x:c r="E28" s="179"/>
      <x:c r="F28" s="179"/>
      <x:c r="G28" s="179"/>
      <x:c r="H28" s="179"/>
      <x:c r="I28" s="179"/>
      <x:c r="J28" s="63"/>
      <x:c r="K28" s="63"/>
      <x:c r="L28" s="63" t="str">
        <x:f>IF(OR(A28="",J28="",K28=""),"",J28*K28)</x:f>
      </x:c>
      <x:c r="M28" s="63" t="str">
        <x:f>IF(L28="","",IF(L28&gt;='Scoring &amp; Guidance'!$I$7,'Scoring &amp; Guidance'!$H$7,IF(L28&gt;='Scoring &amp; Guidance'!$I$6,'Scoring &amp; Guidance'!$H$6,IF(L28&gt;='Scoring &amp; Guidance'!$I$5,'Scoring &amp; Guidance'!$H$5,'Scoring &amp; Guidance'!$H$4))))</x:f>
      </x:c>
      <x:c r="N28" s="179"/>
      <x:c r="O28" s="179"/>
      <x:c r="P28" s="191"/>
      <x:c r="Q28" s="179"/>
      <x:c r="R28" s="179"/>
      <x:c r="S28" s="63" t="str">
        <x:f>IF(OR(A28="",Q28="",R28=""),"",Q28*R28)</x:f>
      </x:c>
      <x:c r="T28" s="63" t="str">
        <x:f>IF(S28="","",IF(S28&gt;='Scoring &amp; Guidance'!$I$7,'Scoring &amp; Guidance'!$H$7,IF(S28&gt;='Scoring &amp; Guidance'!$I$6,'Scoring &amp; Guidance'!$H$6,IF(S28&gt;='Scoring &amp; Guidance'!$I$5,'Scoring &amp; Guidance'!$H$5,'Scoring &amp; Guidance'!$H$4))))</x:f>
      </x:c>
      <x:c r="U28" s="179"/>
      <x:c r="V28" s="179"/>
    </x:row>
    <x:row r="29" ht="62" customHeight="1">
      <x:c r="A29" s="179"/>
      <x:c r="B29" s="179"/>
      <x:c r="C29" s="179"/>
      <x:c r="D29" s="179"/>
      <x:c r="E29" s="179"/>
      <x:c r="F29" s="179"/>
      <x:c r="G29" s="179"/>
      <x:c r="H29" s="179"/>
      <x:c r="I29" s="179"/>
      <x:c r="J29" s="63"/>
      <x:c r="K29" s="63"/>
      <x:c r="L29" s="63" t="str">
        <x:f>IF(OR(A29="",J29="",K29=""),"",J29*K29)</x:f>
      </x:c>
      <x:c r="M29" s="63" t="str">
        <x:f>IF(L29="","",IF(L29&gt;='Scoring &amp; Guidance'!$I$7,'Scoring &amp; Guidance'!$H$7,IF(L29&gt;='Scoring &amp; Guidance'!$I$6,'Scoring &amp; Guidance'!$H$6,IF(L29&gt;='Scoring &amp; Guidance'!$I$5,'Scoring &amp; Guidance'!$H$5,'Scoring &amp; Guidance'!$H$4))))</x:f>
      </x:c>
      <x:c r="N29" s="179"/>
      <x:c r="O29" s="179"/>
      <x:c r="P29" s="191"/>
      <x:c r="Q29" s="179"/>
      <x:c r="R29" s="179"/>
      <x:c r="S29" s="63" t="str">
        <x:f>IF(OR(A29="",Q29="",R29=""),"",Q29*R29)</x:f>
      </x:c>
      <x:c r="T29" s="63" t="str">
        <x:f>IF(S29="","",IF(S29&gt;='Scoring &amp; Guidance'!$I$7,'Scoring &amp; Guidance'!$H$7,IF(S29&gt;='Scoring &amp; Guidance'!$I$6,'Scoring &amp; Guidance'!$H$6,IF(S29&gt;='Scoring &amp; Guidance'!$I$5,'Scoring &amp; Guidance'!$H$5,'Scoring &amp; Guidance'!$H$4))))</x:f>
      </x:c>
      <x:c r="U29" s="179"/>
      <x:c r="V29" s="179"/>
    </x:row>
    <x:row r="30" ht="62" customHeight="1">
      <x:c r="A30" s="179"/>
      <x:c r="B30" s="179"/>
      <x:c r="C30" s="179"/>
      <x:c r="D30" s="179"/>
      <x:c r="E30" s="179"/>
      <x:c r="F30" s="179"/>
      <x:c r="G30" s="179"/>
      <x:c r="H30" s="179"/>
      <x:c r="I30" s="179"/>
      <x:c r="J30" s="63"/>
      <x:c r="K30" s="63"/>
      <x:c r="L30" s="63" t="str">
        <x:f>IF(OR(A30="",J30="",K30=""),"",J30*K30)</x:f>
      </x:c>
      <x:c r="M30" s="63" t="str">
        <x:f>IF(L30="","",IF(L30&gt;='Scoring &amp; Guidance'!$I$7,'Scoring &amp; Guidance'!$H$7,IF(L30&gt;='Scoring &amp; Guidance'!$I$6,'Scoring &amp; Guidance'!$H$6,IF(L30&gt;='Scoring &amp; Guidance'!$I$5,'Scoring &amp; Guidance'!$H$5,'Scoring &amp; Guidance'!$H$4))))</x:f>
      </x:c>
      <x:c r="N30" s="179"/>
      <x:c r="O30" s="179"/>
      <x:c r="P30" s="191"/>
      <x:c r="Q30" s="179"/>
      <x:c r="R30" s="179"/>
      <x:c r="S30" s="63" t="str">
        <x:f>IF(OR(A30="",Q30="",R30=""),"",Q30*R30)</x:f>
      </x:c>
      <x:c r="T30" s="63" t="str">
        <x:f>IF(S30="","",IF(S30&gt;='Scoring &amp; Guidance'!$I$7,'Scoring &amp; Guidance'!$H$7,IF(S30&gt;='Scoring &amp; Guidance'!$I$6,'Scoring &amp; Guidance'!$H$6,IF(S30&gt;='Scoring &amp; Guidance'!$I$5,'Scoring &amp; Guidance'!$H$5,'Scoring &amp; Guidance'!$H$4))))</x:f>
      </x:c>
      <x:c r="U30" s="179"/>
      <x:c r="V30" s="179"/>
    </x:row>
    <x:row r="31" ht="62" customHeight="1">
      <x:c r="A31" s="179"/>
      <x:c r="B31" s="179"/>
      <x:c r="C31" s="179"/>
      <x:c r="D31" s="179"/>
      <x:c r="E31" s="179"/>
      <x:c r="F31" s="179"/>
      <x:c r="G31" s="179"/>
      <x:c r="H31" s="179"/>
      <x:c r="I31" s="179"/>
      <x:c r="J31" s="63"/>
      <x:c r="K31" s="63"/>
      <x:c r="L31" s="63" t="str">
        <x:f>IF(OR(A31="",J31="",K31=""),"",J31*K31)</x:f>
      </x:c>
      <x:c r="M31" s="63" t="str">
        <x:f>IF(L31="","",IF(L31&gt;='Scoring &amp; Guidance'!$I$7,'Scoring &amp; Guidance'!$H$7,IF(L31&gt;='Scoring &amp; Guidance'!$I$6,'Scoring &amp; Guidance'!$H$6,IF(L31&gt;='Scoring &amp; Guidance'!$I$5,'Scoring &amp; Guidance'!$H$5,'Scoring &amp; Guidance'!$H$4))))</x:f>
      </x:c>
      <x:c r="N31" s="179"/>
      <x:c r="O31" s="179"/>
      <x:c r="P31" s="191"/>
      <x:c r="Q31" s="179"/>
      <x:c r="R31" s="179"/>
      <x:c r="S31" s="63" t="str">
        <x:f>IF(OR(A31="",Q31="",R31=""),"",Q31*R31)</x:f>
      </x:c>
      <x:c r="T31" s="63" t="str">
        <x:f>IF(S31="","",IF(S31&gt;='Scoring &amp; Guidance'!$I$7,'Scoring &amp; Guidance'!$H$7,IF(S31&gt;='Scoring &amp; Guidance'!$I$6,'Scoring &amp; Guidance'!$H$6,IF(S31&gt;='Scoring &amp; Guidance'!$I$5,'Scoring &amp; Guidance'!$H$5,'Scoring &amp; Guidance'!$H$4))))</x:f>
      </x:c>
      <x:c r="U31" s="179"/>
      <x:c r="V31" s="179"/>
    </x:row>
    <x:row r="32" ht="62" customHeight="1">
      <x:c r="A32" s="179"/>
      <x:c r="B32" s="179"/>
      <x:c r="C32" s="179"/>
      <x:c r="D32" s="179"/>
      <x:c r="E32" s="179"/>
      <x:c r="F32" s="179"/>
      <x:c r="G32" s="179"/>
      <x:c r="H32" s="179"/>
      <x:c r="I32" s="179"/>
      <x:c r="J32" s="63"/>
      <x:c r="K32" s="63"/>
      <x:c r="L32" s="63" t="str">
        <x:f>IF(OR(A32="",J32="",K32=""),"",J32*K32)</x:f>
      </x:c>
      <x:c r="M32" s="63" t="str">
        <x:f>IF(L32="","",IF(L32&gt;='Scoring &amp; Guidance'!$I$7,'Scoring &amp; Guidance'!$H$7,IF(L32&gt;='Scoring &amp; Guidance'!$I$6,'Scoring &amp; Guidance'!$H$6,IF(L32&gt;='Scoring &amp; Guidance'!$I$5,'Scoring &amp; Guidance'!$H$5,'Scoring &amp; Guidance'!$H$4))))</x:f>
      </x:c>
      <x:c r="N32" s="179"/>
      <x:c r="O32" s="179"/>
      <x:c r="P32" s="191"/>
      <x:c r="Q32" s="179"/>
      <x:c r="R32" s="179"/>
      <x:c r="S32" s="63" t="str">
        <x:f>IF(OR(A32="",Q32="",R32=""),"",Q32*R32)</x:f>
      </x:c>
      <x:c r="T32" s="63" t="str">
        <x:f>IF(S32="","",IF(S32&gt;='Scoring &amp; Guidance'!$I$7,'Scoring &amp; Guidance'!$H$7,IF(S32&gt;='Scoring &amp; Guidance'!$I$6,'Scoring &amp; Guidance'!$H$6,IF(S32&gt;='Scoring &amp; Guidance'!$I$5,'Scoring &amp; Guidance'!$H$5,'Scoring &amp; Guidance'!$H$4))))</x:f>
      </x:c>
      <x:c r="U32" s="179"/>
      <x:c r="V32" s="179"/>
    </x:row>
    <x:row r="33" ht="62" customHeight="1">
      <x:c r="A33" s="179"/>
      <x:c r="B33" s="179"/>
      <x:c r="C33" s="179"/>
      <x:c r="D33" s="179"/>
      <x:c r="E33" s="179"/>
      <x:c r="F33" s="179"/>
      <x:c r="G33" s="179"/>
      <x:c r="H33" s="179"/>
      <x:c r="I33" s="179"/>
      <x:c r="J33" s="63"/>
      <x:c r="K33" s="63"/>
      <x:c r="L33" s="63" t="str">
        <x:f>IF(OR(A33="",J33="",K33=""),"",J33*K33)</x:f>
      </x:c>
      <x:c r="M33" s="63" t="str">
        <x:f>IF(L33="","",IF(L33&gt;='Scoring &amp; Guidance'!$I$7,'Scoring &amp; Guidance'!$H$7,IF(L33&gt;='Scoring &amp; Guidance'!$I$6,'Scoring &amp; Guidance'!$H$6,IF(L33&gt;='Scoring &amp; Guidance'!$I$5,'Scoring &amp; Guidance'!$H$5,'Scoring &amp; Guidance'!$H$4))))</x:f>
      </x:c>
      <x:c r="N33" s="179"/>
      <x:c r="O33" s="179"/>
      <x:c r="P33" s="191"/>
      <x:c r="Q33" s="179"/>
      <x:c r="R33" s="179"/>
      <x:c r="S33" s="63" t="str">
        <x:f>IF(OR(A33="",Q33="",R33=""),"",Q33*R33)</x:f>
      </x:c>
      <x:c r="T33" s="63" t="str">
        <x:f>IF(S33="","",IF(S33&gt;='Scoring &amp; Guidance'!$I$7,'Scoring &amp; Guidance'!$H$7,IF(S33&gt;='Scoring &amp; Guidance'!$I$6,'Scoring &amp; Guidance'!$H$6,IF(S33&gt;='Scoring &amp; Guidance'!$I$5,'Scoring &amp; Guidance'!$H$5,'Scoring &amp; Guidance'!$H$4))))</x:f>
      </x:c>
      <x:c r="U33" s="179"/>
      <x:c r="V33" s="179"/>
    </x:row>
    <x:row r="34" ht="62" customHeight="1">
      <x:c r="A34" s="179"/>
      <x:c r="B34" s="179"/>
      <x:c r="C34" s="179"/>
      <x:c r="D34" s="179"/>
      <x:c r="E34" s="179"/>
      <x:c r="F34" s="179"/>
      <x:c r="G34" s="179"/>
      <x:c r="H34" s="179"/>
      <x:c r="I34" s="179"/>
      <x:c r="J34" s="63"/>
      <x:c r="K34" s="63"/>
      <x:c r="L34" s="63" t="str">
        <x:f>IF(OR(A34="",J34="",K34=""),"",J34*K34)</x:f>
      </x:c>
      <x:c r="M34" s="63" t="str">
        <x:f>IF(L34="","",IF(L34&gt;='Scoring &amp; Guidance'!$I$7,'Scoring &amp; Guidance'!$H$7,IF(L34&gt;='Scoring &amp; Guidance'!$I$6,'Scoring &amp; Guidance'!$H$6,IF(L34&gt;='Scoring &amp; Guidance'!$I$5,'Scoring &amp; Guidance'!$H$5,'Scoring &amp; Guidance'!$H$4))))</x:f>
      </x:c>
      <x:c r="N34" s="179"/>
      <x:c r="O34" s="179"/>
      <x:c r="P34" s="191"/>
      <x:c r="Q34" s="179"/>
      <x:c r="R34" s="179"/>
      <x:c r="S34" s="63" t="str">
        <x:f>IF(OR(A34="",Q34="",R34=""),"",Q34*R34)</x:f>
      </x:c>
      <x:c r="T34" s="63" t="str">
        <x:f>IF(S34="","",IF(S34&gt;='Scoring &amp; Guidance'!$I$7,'Scoring &amp; Guidance'!$H$7,IF(S34&gt;='Scoring &amp; Guidance'!$I$6,'Scoring &amp; Guidance'!$H$6,IF(S34&gt;='Scoring &amp; Guidance'!$I$5,'Scoring &amp; Guidance'!$H$5,'Scoring &amp; Guidance'!$H$4))))</x:f>
      </x:c>
      <x:c r="U34" s="179"/>
      <x:c r="V34" s="179"/>
    </x:row>
    <x:row r="35" ht="62" customHeight="1">
      <x:c r="A35" s="179"/>
      <x:c r="B35" s="179"/>
      <x:c r="C35" s="179"/>
      <x:c r="D35" s="179"/>
      <x:c r="E35" s="179"/>
      <x:c r="F35" s="179"/>
      <x:c r="G35" s="179"/>
      <x:c r="H35" s="179"/>
      <x:c r="I35" s="179"/>
      <x:c r="J35" s="63"/>
      <x:c r="K35" s="63"/>
      <x:c r="L35" s="63" t="str">
        <x:f>IF(OR(A35="",J35="",K35=""),"",J35*K35)</x:f>
      </x:c>
      <x:c r="M35" s="63" t="str">
        <x:f>IF(L35="","",IF(L35&gt;='Scoring &amp; Guidance'!$I$7,'Scoring &amp; Guidance'!$H$7,IF(L35&gt;='Scoring &amp; Guidance'!$I$6,'Scoring &amp; Guidance'!$H$6,IF(L35&gt;='Scoring &amp; Guidance'!$I$5,'Scoring &amp; Guidance'!$H$5,'Scoring &amp; Guidance'!$H$4))))</x:f>
      </x:c>
      <x:c r="N35" s="179"/>
      <x:c r="O35" s="179"/>
      <x:c r="P35" s="191"/>
      <x:c r="Q35" s="179"/>
      <x:c r="R35" s="179"/>
      <x:c r="S35" s="63" t="str">
        <x:f>IF(OR(A35="",Q35="",R35=""),"",Q35*R35)</x:f>
      </x:c>
      <x:c r="T35" s="63" t="str">
        <x:f>IF(S35="","",IF(S35&gt;='Scoring &amp; Guidance'!$I$7,'Scoring &amp; Guidance'!$H$7,IF(S35&gt;='Scoring &amp; Guidance'!$I$6,'Scoring &amp; Guidance'!$H$6,IF(S35&gt;='Scoring &amp; Guidance'!$I$5,'Scoring &amp; Guidance'!$H$5,'Scoring &amp; Guidance'!$H$4))))</x:f>
      </x:c>
      <x:c r="U35" s="179"/>
      <x:c r="V35" s="179"/>
    </x:row>
    <x:row r="36" ht="62" customHeight="1">
      <x:c r="A36" s="179"/>
      <x:c r="B36" s="179"/>
      <x:c r="C36" s="179"/>
      <x:c r="D36" s="179"/>
      <x:c r="E36" s="179"/>
      <x:c r="F36" s="179"/>
      <x:c r="G36" s="179"/>
      <x:c r="H36" s="179"/>
      <x:c r="I36" s="179"/>
      <x:c r="J36" s="63"/>
      <x:c r="K36" s="63"/>
      <x:c r="L36" s="63" t="str">
        <x:f>IF(OR(A36="",J36="",K36=""),"",J36*K36)</x:f>
      </x:c>
      <x:c r="M36" s="63" t="str">
        <x:f>IF(L36="","",IF(L36&gt;='Scoring &amp; Guidance'!$I$7,'Scoring &amp; Guidance'!$H$7,IF(L36&gt;='Scoring &amp; Guidance'!$I$6,'Scoring &amp; Guidance'!$H$6,IF(L36&gt;='Scoring &amp; Guidance'!$I$5,'Scoring &amp; Guidance'!$H$5,'Scoring &amp; Guidance'!$H$4))))</x:f>
      </x:c>
      <x:c r="N36" s="179"/>
      <x:c r="O36" s="179"/>
      <x:c r="P36" s="191"/>
      <x:c r="Q36" s="179"/>
      <x:c r="R36" s="179"/>
      <x:c r="S36" s="63" t="str">
        <x:f>IF(OR(A36="",Q36="",R36=""),"",Q36*R36)</x:f>
      </x:c>
      <x:c r="T36" s="63" t="str">
        <x:f>IF(S36="","",IF(S36&gt;='Scoring &amp; Guidance'!$I$7,'Scoring &amp; Guidance'!$H$7,IF(S36&gt;='Scoring &amp; Guidance'!$I$6,'Scoring &amp; Guidance'!$H$6,IF(S36&gt;='Scoring &amp; Guidance'!$I$5,'Scoring &amp; Guidance'!$H$5,'Scoring &amp; Guidance'!$H$4))))</x:f>
      </x:c>
      <x:c r="U36" s="179"/>
      <x:c r="V36" s="179"/>
    </x:row>
    <x:row r="37" ht="62" customHeight="1">
      <x:c r="A37" s="179"/>
      <x:c r="B37" s="179"/>
      <x:c r="C37" s="179"/>
      <x:c r="D37" s="179"/>
      <x:c r="E37" s="179"/>
      <x:c r="F37" s="179"/>
      <x:c r="G37" s="179"/>
      <x:c r="H37" s="179"/>
      <x:c r="I37" s="179"/>
      <x:c r="J37" s="63"/>
      <x:c r="K37" s="63"/>
      <x:c r="L37" s="63" t="str">
        <x:f>IF(OR(A37="",J37="",K37=""),"",J37*K37)</x:f>
      </x:c>
      <x:c r="M37" s="63" t="str">
        <x:f>IF(L37="","",IF(L37&gt;='Scoring &amp; Guidance'!$I$7,'Scoring &amp; Guidance'!$H$7,IF(L37&gt;='Scoring &amp; Guidance'!$I$6,'Scoring &amp; Guidance'!$H$6,IF(L37&gt;='Scoring &amp; Guidance'!$I$5,'Scoring &amp; Guidance'!$H$5,'Scoring &amp; Guidance'!$H$4))))</x:f>
      </x:c>
      <x:c r="N37" s="179"/>
      <x:c r="O37" s="179"/>
      <x:c r="P37" s="191"/>
      <x:c r="Q37" s="179"/>
      <x:c r="R37" s="179"/>
      <x:c r="S37" s="63" t="str">
        <x:f>IF(OR(A37="",Q37="",R37=""),"",Q37*R37)</x:f>
      </x:c>
      <x:c r="T37" s="63" t="str">
        <x:f>IF(S37="","",IF(S37&gt;='Scoring &amp; Guidance'!$I$7,'Scoring &amp; Guidance'!$H$7,IF(S37&gt;='Scoring &amp; Guidance'!$I$6,'Scoring &amp; Guidance'!$H$6,IF(S37&gt;='Scoring &amp; Guidance'!$I$5,'Scoring &amp; Guidance'!$H$5,'Scoring &amp; Guidance'!$H$4))))</x:f>
      </x:c>
      <x:c r="U37" s="179"/>
      <x:c r="V37" s="179"/>
    </x:row>
    <x:row r="38" ht="62" customHeight="1">
      <x:c r="A38" s="179"/>
      <x:c r="B38" s="179"/>
      <x:c r="C38" s="179"/>
      <x:c r="D38" s="179"/>
      <x:c r="E38" s="179"/>
      <x:c r="F38" s="179"/>
      <x:c r="G38" s="179"/>
      <x:c r="H38" s="179"/>
      <x:c r="I38" s="179"/>
      <x:c r="J38" s="63"/>
      <x:c r="K38" s="63"/>
      <x:c r="L38" s="63" t="str">
        <x:f>IF(OR(A38="",J38="",K38=""),"",J38*K38)</x:f>
      </x:c>
      <x:c r="M38" s="63" t="str">
        <x:f>IF(L38="","",IF(L38&gt;='Scoring &amp; Guidance'!$I$7,'Scoring &amp; Guidance'!$H$7,IF(L38&gt;='Scoring &amp; Guidance'!$I$6,'Scoring &amp; Guidance'!$H$6,IF(L38&gt;='Scoring &amp; Guidance'!$I$5,'Scoring &amp; Guidance'!$H$5,'Scoring &amp; Guidance'!$H$4))))</x:f>
      </x:c>
      <x:c r="N38" s="179"/>
      <x:c r="O38" s="179"/>
      <x:c r="P38" s="191"/>
      <x:c r="Q38" s="179"/>
      <x:c r="R38" s="179"/>
      <x:c r="S38" s="63" t="str">
        <x:f>IF(OR(A38="",Q38="",R38=""),"",Q38*R38)</x:f>
      </x:c>
      <x:c r="T38" s="63" t="str">
        <x:f>IF(S38="","",IF(S38&gt;='Scoring &amp; Guidance'!$I$7,'Scoring &amp; Guidance'!$H$7,IF(S38&gt;='Scoring &amp; Guidance'!$I$6,'Scoring &amp; Guidance'!$H$6,IF(S38&gt;='Scoring &amp; Guidance'!$I$5,'Scoring &amp; Guidance'!$H$5,'Scoring &amp; Guidance'!$H$4))))</x:f>
      </x:c>
      <x:c r="U38" s="179"/>
      <x:c r="V38" s="179"/>
    </x:row>
    <x:row r="39" ht="62" customHeight="1">
      <x:c r="A39" s="179"/>
      <x:c r="B39" s="179"/>
      <x:c r="C39" s="179"/>
      <x:c r="D39" s="179"/>
      <x:c r="E39" s="179"/>
      <x:c r="F39" s="179"/>
      <x:c r="G39" s="179"/>
      <x:c r="H39" s="179"/>
      <x:c r="I39" s="179"/>
      <x:c r="J39" s="63"/>
      <x:c r="K39" s="63"/>
      <x:c r="L39" s="63" t="str">
        <x:f>IF(OR(A39="",J39="",K39=""),"",J39*K39)</x:f>
      </x:c>
      <x:c r="M39" s="63" t="str">
        <x:f>IF(L39="","",IF(L39&gt;='Scoring &amp; Guidance'!$I$7,'Scoring &amp; Guidance'!$H$7,IF(L39&gt;='Scoring &amp; Guidance'!$I$6,'Scoring &amp; Guidance'!$H$6,IF(L39&gt;='Scoring &amp; Guidance'!$I$5,'Scoring &amp; Guidance'!$H$5,'Scoring &amp; Guidance'!$H$4))))</x:f>
      </x:c>
      <x:c r="N39" s="179"/>
      <x:c r="O39" s="179"/>
      <x:c r="P39" s="191"/>
      <x:c r="Q39" s="179"/>
      <x:c r="R39" s="179"/>
      <x:c r="S39" s="63" t="str">
        <x:f>IF(OR(A39="",Q39="",R39=""),"",Q39*R39)</x:f>
      </x:c>
      <x:c r="T39" s="63" t="str">
        <x:f>IF(S39="","",IF(S39&gt;='Scoring &amp; Guidance'!$I$7,'Scoring &amp; Guidance'!$H$7,IF(S39&gt;='Scoring &amp; Guidance'!$I$6,'Scoring &amp; Guidance'!$H$6,IF(S39&gt;='Scoring &amp; Guidance'!$I$5,'Scoring &amp; Guidance'!$H$5,'Scoring &amp; Guidance'!$H$4))))</x:f>
      </x:c>
      <x:c r="U39" s="179"/>
      <x:c r="V39" s="179"/>
    </x:row>
    <x:row r="40" ht="62" customHeight="1">
      <x:c r="A40" s="179"/>
      <x:c r="B40" s="179"/>
      <x:c r="C40" s="179"/>
      <x:c r="D40" s="179"/>
      <x:c r="E40" s="179"/>
      <x:c r="F40" s="179"/>
      <x:c r="G40" s="179"/>
      <x:c r="H40" s="179"/>
      <x:c r="I40" s="179"/>
      <x:c r="J40" s="63"/>
      <x:c r="K40" s="63"/>
      <x:c r="L40" s="63" t="str">
        <x:f>IF(OR(A40="",J40="",K40=""),"",J40*K40)</x:f>
      </x:c>
      <x:c r="M40" s="63" t="str">
        <x:f>IF(L40="","",IF(L40&gt;='Scoring &amp; Guidance'!$I$7,'Scoring &amp; Guidance'!$H$7,IF(L40&gt;='Scoring &amp; Guidance'!$I$6,'Scoring &amp; Guidance'!$H$6,IF(L40&gt;='Scoring &amp; Guidance'!$I$5,'Scoring &amp; Guidance'!$H$5,'Scoring &amp; Guidance'!$H$4))))</x:f>
      </x:c>
      <x:c r="N40" s="179"/>
      <x:c r="O40" s="179"/>
      <x:c r="P40" s="191"/>
      <x:c r="Q40" s="179"/>
      <x:c r="R40" s="179"/>
      <x:c r="S40" s="63" t="str">
        <x:f>IF(OR(A40="",Q40="",R40=""),"",Q40*R40)</x:f>
      </x:c>
      <x:c r="T40" s="63" t="str">
        <x:f>IF(S40="","",IF(S40&gt;='Scoring &amp; Guidance'!$I$7,'Scoring &amp; Guidance'!$H$7,IF(S40&gt;='Scoring &amp; Guidance'!$I$6,'Scoring &amp; Guidance'!$H$6,IF(S40&gt;='Scoring &amp; Guidance'!$I$5,'Scoring &amp; Guidance'!$H$5,'Scoring &amp; Guidance'!$H$4))))</x:f>
      </x:c>
      <x:c r="U40" s="179"/>
      <x:c r="V40" s="179"/>
    </x:row>
    <x:row r="41" ht="62" customHeight="1">
      <x:c r="A41" s="179"/>
      <x:c r="B41" s="179"/>
      <x:c r="C41" s="179"/>
      <x:c r="D41" s="179"/>
      <x:c r="E41" s="179"/>
      <x:c r="F41" s="179"/>
      <x:c r="G41" s="179"/>
      <x:c r="H41" s="179"/>
      <x:c r="I41" s="179"/>
      <x:c r="J41" s="63"/>
      <x:c r="K41" s="63"/>
      <x:c r="L41" s="63" t="str">
        <x:f>IF(OR(A41="",J41="",K41=""),"",J41*K41)</x:f>
      </x:c>
      <x:c r="M41" s="63" t="str">
        <x:f>IF(L41="","",IF(L41&gt;='Scoring &amp; Guidance'!$I$7,'Scoring &amp; Guidance'!$H$7,IF(L41&gt;='Scoring &amp; Guidance'!$I$6,'Scoring &amp; Guidance'!$H$6,IF(L41&gt;='Scoring &amp; Guidance'!$I$5,'Scoring &amp; Guidance'!$H$5,'Scoring &amp; Guidance'!$H$4))))</x:f>
      </x:c>
      <x:c r="N41" s="179"/>
      <x:c r="O41" s="179"/>
      <x:c r="P41" s="191"/>
      <x:c r="Q41" s="179"/>
      <x:c r="R41" s="179"/>
      <x:c r="S41" s="63" t="str">
        <x:f>IF(OR(A41="",Q41="",R41=""),"",Q41*R41)</x:f>
      </x:c>
      <x:c r="T41" s="63" t="str">
        <x:f>IF(S41="","",IF(S41&gt;='Scoring &amp; Guidance'!$I$7,'Scoring &amp; Guidance'!$H$7,IF(S41&gt;='Scoring &amp; Guidance'!$I$6,'Scoring &amp; Guidance'!$H$6,IF(S41&gt;='Scoring &amp; Guidance'!$I$5,'Scoring &amp; Guidance'!$H$5,'Scoring &amp; Guidance'!$H$4))))</x:f>
      </x:c>
      <x:c r="U41" s="179"/>
      <x:c r="V41" s="179"/>
    </x:row>
    <x:row r="42" ht="62" customHeight="1">
      <x:c r="A42" s="179"/>
      <x:c r="B42" s="179"/>
      <x:c r="C42" s="179"/>
      <x:c r="D42" s="179"/>
      <x:c r="E42" s="179"/>
      <x:c r="F42" s="179"/>
      <x:c r="G42" s="179"/>
      <x:c r="H42" s="179"/>
      <x:c r="I42" s="179"/>
      <x:c r="J42" s="63"/>
      <x:c r="K42" s="63"/>
      <x:c r="L42" s="63" t="str">
        <x:f>IF(OR(A42="",J42="",K42=""),"",J42*K42)</x:f>
      </x:c>
      <x:c r="M42" s="63" t="str">
        <x:f>IF(L42="","",IF(L42&gt;='Scoring &amp; Guidance'!$I$7,'Scoring &amp; Guidance'!$H$7,IF(L42&gt;='Scoring &amp; Guidance'!$I$6,'Scoring &amp; Guidance'!$H$6,IF(L42&gt;='Scoring &amp; Guidance'!$I$5,'Scoring &amp; Guidance'!$H$5,'Scoring &amp; Guidance'!$H$4))))</x:f>
      </x:c>
      <x:c r="N42" s="179"/>
      <x:c r="O42" s="179"/>
      <x:c r="P42" s="191"/>
      <x:c r="Q42" s="179"/>
      <x:c r="R42" s="179"/>
      <x:c r="S42" s="63" t="str">
        <x:f>IF(OR(A42="",Q42="",R42=""),"",Q42*R42)</x:f>
      </x:c>
      <x:c r="T42" s="63" t="str">
        <x:f>IF(S42="","",IF(S42&gt;='Scoring &amp; Guidance'!$I$7,'Scoring &amp; Guidance'!$H$7,IF(S42&gt;='Scoring &amp; Guidance'!$I$6,'Scoring &amp; Guidance'!$H$6,IF(S42&gt;='Scoring &amp; Guidance'!$I$5,'Scoring &amp; Guidance'!$H$5,'Scoring &amp; Guidance'!$H$4))))</x:f>
      </x:c>
      <x:c r="U42" s="179"/>
      <x:c r="V42" s="179"/>
    </x:row>
    <x:row r="43" ht="62" customHeight="1">
      <x:c r="A43" s="179"/>
      <x:c r="B43" s="179"/>
      <x:c r="C43" s="179"/>
      <x:c r="D43" s="179"/>
      <x:c r="E43" s="179"/>
      <x:c r="F43" s="179"/>
      <x:c r="G43" s="179"/>
      <x:c r="H43" s="179"/>
      <x:c r="I43" s="179"/>
      <x:c r="J43" s="63"/>
      <x:c r="K43" s="63"/>
      <x:c r="L43" s="63" t="str">
        <x:f>IF(OR(A43="",J43="",K43=""),"",J43*K43)</x:f>
      </x:c>
      <x:c r="M43" s="63" t="str">
        <x:f>IF(L43="","",IF(L43&gt;='Scoring &amp; Guidance'!$I$7,'Scoring &amp; Guidance'!$H$7,IF(L43&gt;='Scoring &amp; Guidance'!$I$6,'Scoring &amp; Guidance'!$H$6,IF(L43&gt;='Scoring &amp; Guidance'!$I$5,'Scoring &amp; Guidance'!$H$5,'Scoring &amp; Guidance'!$H$4))))</x:f>
      </x:c>
      <x:c r="N43" s="179"/>
      <x:c r="O43" s="179"/>
      <x:c r="P43" s="191"/>
      <x:c r="Q43" s="179"/>
      <x:c r="R43" s="179"/>
      <x:c r="S43" s="63" t="str">
        <x:f>IF(OR(A43="",Q43="",R43=""),"",Q43*R43)</x:f>
      </x:c>
      <x:c r="T43" s="63" t="str">
        <x:f>IF(S43="","",IF(S43&gt;='Scoring &amp; Guidance'!$I$7,'Scoring &amp; Guidance'!$H$7,IF(S43&gt;='Scoring &amp; Guidance'!$I$6,'Scoring &amp; Guidance'!$H$6,IF(S43&gt;='Scoring &amp; Guidance'!$I$5,'Scoring &amp; Guidance'!$H$5,'Scoring &amp; Guidance'!$H$4))))</x:f>
      </x:c>
      <x:c r="U43" s="179"/>
      <x:c r="V43" s="179"/>
    </x:row>
    <x:row r="44" ht="62" customHeight="1">
      <x:c r="A44" s="179"/>
      <x:c r="B44" s="179"/>
      <x:c r="C44" s="179"/>
      <x:c r="D44" s="179"/>
      <x:c r="E44" s="179"/>
      <x:c r="F44" s="179"/>
      <x:c r="G44" s="179"/>
      <x:c r="H44" s="179"/>
      <x:c r="I44" s="179"/>
      <x:c r="J44" s="63"/>
      <x:c r="K44" s="63"/>
      <x:c r="L44" s="63" t="str">
        <x:f>IF(OR(A44="",J44="",K44=""),"",J44*K44)</x:f>
      </x:c>
      <x:c r="M44" s="63" t="str">
        <x:f>IF(L44="","",IF(L44&gt;='Scoring &amp; Guidance'!$I$7,'Scoring &amp; Guidance'!$H$7,IF(L44&gt;='Scoring &amp; Guidance'!$I$6,'Scoring &amp; Guidance'!$H$6,IF(L44&gt;='Scoring &amp; Guidance'!$I$5,'Scoring &amp; Guidance'!$H$5,'Scoring &amp; Guidance'!$H$4))))</x:f>
      </x:c>
      <x:c r="N44" s="179"/>
      <x:c r="O44" s="179"/>
      <x:c r="P44" s="191"/>
      <x:c r="Q44" s="179"/>
      <x:c r="R44" s="179"/>
      <x:c r="S44" s="63" t="str">
        <x:f>IF(OR(A44="",Q44="",R44=""),"",Q44*R44)</x:f>
      </x:c>
      <x:c r="T44" s="63" t="str">
        <x:f>IF(S44="","",IF(S44&gt;='Scoring &amp; Guidance'!$I$7,'Scoring &amp; Guidance'!$H$7,IF(S44&gt;='Scoring &amp; Guidance'!$I$6,'Scoring &amp; Guidance'!$H$6,IF(S44&gt;='Scoring &amp; Guidance'!$I$5,'Scoring &amp; Guidance'!$H$5,'Scoring &amp; Guidance'!$H$4))))</x:f>
      </x:c>
      <x:c r="U44" s="179"/>
      <x:c r="V44" s="179"/>
    </x:row>
    <x:row r="45" ht="62" customHeight="1">
      <x:c r="A45" s="179"/>
      <x:c r="B45" s="179"/>
      <x:c r="C45" s="179"/>
      <x:c r="D45" s="179"/>
      <x:c r="E45" s="179"/>
      <x:c r="F45" s="179"/>
      <x:c r="G45" s="179"/>
      <x:c r="H45" s="179"/>
      <x:c r="I45" s="179"/>
      <x:c r="J45" s="63"/>
      <x:c r="K45" s="63"/>
      <x:c r="L45" s="63" t="str">
        <x:f>IF(OR(A45="",J45="",K45=""),"",J45*K45)</x:f>
      </x:c>
      <x:c r="M45" s="63" t="str">
        <x:f>IF(L45="","",IF(L45&gt;='Scoring &amp; Guidance'!$I$7,'Scoring &amp; Guidance'!$H$7,IF(L45&gt;='Scoring &amp; Guidance'!$I$6,'Scoring &amp; Guidance'!$H$6,IF(L45&gt;='Scoring &amp; Guidance'!$I$5,'Scoring &amp; Guidance'!$H$5,'Scoring &amp; Guidance'!$H$4))))</x:f>
      </x:c>
      <x:c r="N45" s="179"/>
      <x:c r="O45" s="179"/>
      <x:c r="P45" s="191"/>
      <x:c r="Q45" s="179"/>
      <x:c r="R45" s="179"/>
      <x:c r="S45" s="63" t="str">
        <x:f>IF(OR(A45="",Q45="",R45=""),"",Q45*R45)</x:f>
      </x:c>
      <x:c r="T45" s="63" t="str">
        <x:f>IF(S45="","",IF(S45&gt;='Scoring &amp; Guidance'!$I$7,'Scoring &amp; Guidance'!$H$7,IF(S45&gt;='Scoring &amp; Guidance'!$I$6,'Scoring &amp; Guidance'!$H$6,IF(S45&gt;='Scoring &amp; Guidance'!$I$5,'Scoring &amp; Guidance'!$H$5,'Scoring &amp; Guidance'!$H$4))))</x:f>
      </x:c>
      <x:c r="U45" s="179"/>
      <x:c r="V45" s="179"/>
    </x:row>
    <x:row r="46" ht="62" customHeight="1">
      <x:c r="A46" s="179"/>
      <x:c r="B46" s="179"/>
      <x:c r="C46" s="179"/>
      <x:c r="D46" s="179"/>
      <x:c r="E46" s="179"/>
      <x:c r="F46" s="179"/>
      <x:c r="G46" s="179"/>
      <x:c r="H46" s="179"/>
      <x:c r="I46" s="179"/>
      <x:c r="J46" s="63"/>
      <x:c r="K46" s="63"/>
      <x:c r="L46" s="63" t="str">
        <x:f>IF(OR(A46="",J46="",K46=""),"",J46*K46)</x:f>
      </x:c>
      <x:c r="M46" s="63" t="str">
        <x:f>IF(L46="","",IF(L46&gt;='Scoring &amp; Guidance'!$I$7,'Scoring &amp; Guidance'!$H$7,IF(L46&gt;='Scoring &amp; Guidance'!$I$6,'Scoring &amp; Guidance'!$H$6,IF(L46&gt;='Scoring &amp; Guidance'!$I$5,'Scoring &amp; Guidance'!$H$5,'Scoring &amp; Guidance'!$H$4))))</x:f>
      </x:c>
      <x:c r="N46" s="179"/>
      <x:c r="O46" s="179"/>
      <x:c r="P46" s="191"/>
      <x:c r="Q46" s="179"/>
      <x:c r="R46" s="179"/>
      <x:c r="S46" s="63" t="str">
        <x:f>IF(OR(A46="",Q46="",R46=""),"",Q46*R46)</x:f>
      </x:c>
      <x:c r="T46" s="63" t="str">
        <x:f>IF(S46="","",IF(S46&gt;='Scoring &amp; Guidance'!$I$7,'Scoring &amp; Guidance'!$H$7,IF(S46&gt;='Scoring &amp; Guidance'!$I$6,'Scoring &amp; Guidance'!$H$6,IF(S46&gt;='Scoring &amp; Guidance'!$I$5,'Scoring &amp; Guidance'!$H$5,'Scoring &amp; Guidance'!$H$4))))</x:f>
      </x:c>
      <x:c r="U46" s="179"/>
      <x:c r="V46" s="179"/>
    </x:row>
    <x:row r="47" ht="62" customHeight="1">
      <x:c r="A47" s="179"/>
      <x:c r="B47" s="179"/>
      <x:c r="C47" s="179"/>
      <x:c r="D47" s="179"/>
      <x:c r="E47" s="179"/>
      <x:c r="F47" s="179"/>
      <x:c r="G47" s="179"/>
      <x:c r="H47" s="179"/>
      <x:c r="I47" s="179"/>
      <x:c r="J47" s="63"/>
      <x:c r="K47" s="63"/>
      <x:c r="L47" s="63" t="str">
        <x:f>IF(OR(A47="",J47="",K47=""),"",J47*K47)</x:f>
      </x:c>
      <x:c r="M47" s="63" t="str">
        <x:f>IF(L47="","",IF(L47&gt;='Scoring &amp; Guidance'!$I$7,'Scoring &amp; Guidance'!$H$7,IF(L47&gt;='Scoring &amp; Guidance'!$I$6,'Scoring &amp; Guidance'!$H$6,IF(L47&gt;='Scoring &amp; Guidance'!$I$5,'Scoring &amp; Guidance'!$H$5,'Scoring &amp; Guidance'!$H$4))))</x:f>
      </x:c>
      <x:c r="N47" s="179"/>
      <x:c r="O47" s="179"/>
      <x:c r="P47" s="191"/>
      <x:c r="Q47" s="179"/>
      <x:c r="R47" s="179"/>
      <x:c r="S47" s="63" t="str">
        <x:f>IF(OR(A47="",Q47="",R47=""),"",Q47*R47)</x:f>
      </x:c>
      <x:c r="T47" s="63" t="str">
        <x:f>IF(S47="","",IF(S47&gt;='Scoring &amp; Guidance'!$I$7,'Scoring &amp; Guidance'!$H$7,IF(S47&gt;='Scoring &amp; Guidance'!$I$6,'Scoring &amp; Guidance'!$H$6,IF(S47&gt;='Scoring &amp; Guidance'!$I$5,'Scoring &amp; Guidance'!$H$5,'Scoring &amp; Guidance'!$H$4))))</x:f>
      </x:c>
      <x:c r="U47" s="179"/>
      <x:c r="V47" s="179"/>
    </x:row>
    <x:row r="48" ht="62" customHeight="1">
      <x:c r="A48" s="179"/>
      <x:c r="B48" s="179"/>
      <x:c r="C48" s="179"/>
      <x:c r="D48" s="179"/>
      <x:c r="E48" s="179"/>
      <x:c r="F48" s="179"/>
      <x:c r="G48" s="179"/>
      <x:c r="H48" s="179"/>
      <x:c r="I48" s="179"/>
      <x:c r="J48" s="63"/>
      <x:c r="K48" s="63"/>
      <x:c r="L48" s="63" t="str">
        <x:f>IF(OR(A48="",J48="",K48=""),"",J48*K48)</x:f>
      </x:c>
      <x:c r="M48" s="63" t="str">
        <x:f>IF(L48="","",IF(L48&gt;='Scoring &amp; Guidance'!$I$7,'Scoring &amp; Guidance'!$H$7,IF(L48&gt;='Scoring &amp; Guidance'!$I$6,'Scoring &amp; Guidance'!$H$6,IF(L48&gt;='Scoring &amp; Guidance'!$I$5,'Scoring &amp; Guidance'!$H$5,'Scoring &amp; Guidance'!$H$4))))</x:f>
      </x:c>
      <x:c r="N48" s="179"/>
      <x:c r="O48" s="179"/>
      <x:c r="P48" s="191"/>
      <x:c r="Q48" s="179"/>
      <x:c r="R48" s="179"/>
      <x:c r="S48" s="63" t="str">
        <x:f>IF(OR(A48="",Q48="",R48=""),"",Q48*R48)</x:f>
      </x:c>
      <x:c r="T48" s="63" t="str">
        <x:f>IF(S48="","",IF(S48&gt;='Scoring &amp; Guidance'!$I$7,'Scoring &amp; Guidance'!$H$7,IF(S48&gt;='Scoring &amp; Guidance'!$I$6,'Scoring &amp; Guidance'!$H$6,IF(S48&gt;='Scoring &amp; Guidance'!$I$5,'Scoring &amp; Guidance'!$H$5,'Scoring &amp; Guidance'!$H$4))))</x:f>
      </x:c>
      <x:c r="U48" s="179"/>
      <x:c r="V48" s="179"/>
    </x:row>
    <x:row r="49" ht="62" customHeight="1">
      <x:c r="A49" s="179"/>
      <x:c r="B49" s="179"/>
      <x:c r="C49" s="179"/>
      <x:c r="D49" s="179"/>
      <x:c r="E49" s="179"/>
      <x:c r="F49" s="179"/>
      <x:c r="G49" s="179"/>
      <x:c r="H49" s="179"/>
      <x:c r="I49" s="179"/>
      <x:c r="J49" s="63"/>
      <x:c r="K49" s="63"/>
      <x:c r="L49" s="63" t="str">
        <x:f>IF(OR(A49="",J49="",K49=""),"",J49*K49)</x:f>
      </x:c>
      <x:c r="M49" s="63" t="str">
        <x:f>IF(L49="","",IF(L49&gt;='Scoring &amp; Guidance'!$I$7,'Scoring &amp; Guidance'!$H$7,IF(L49&gt;='Scoring &amp; Guidance'!$I$6,'Scoring &amp; Guidance'!$H$6,IF(L49&gt;='Scoring &amp; Guidance'!$I$5,'Scoring &amp; Guidance'!$H$5,'Scoring &amp; Guidance'!$H$4))))</x:f>
      </x:c>
      <x:c r="N49" s="179"/>
      <x:c r="O49" s="179"/>
      <x:c r="P49" s="191"/>
      <x:c r="Q49" s="179"/>
      <x:c r="R49" s="179"/>
      <x:c r="S49" s="63" t="str">
        <x:f>IF(OR(A49="",Q49="",R49=""),"",Q49*R49)</x:f>
      </x:c>
      <x:c r="T49" s="63" t="str">
        <x:f>IF(S49="","",IF(S49&gt;='Scoring &amp; Guidance'!$I$7,'Scoring &amp; Guidance'!$H$7,IF(S49&gt;='Scoring &amp; Guidance'!$I$6,'Scoring &amp; Guidance'!$H$6,IF(S49&gt;='Scoring &amp; Guidance'!$I$5,'Scoring &amp; Guidance'!$H$5,'Scoring &amp; Guidance'!$H$4))))</x:f>
      </x:c>
      <x:c r="U49" s="179"/>
      <x:c r="V49" s="179"/>
    </x:row>
    <x:row r="50" ht="62" customHeight="1">
      <x:c r="A50" s="179"/>
      <x:c r="B50" s="179"/>
      <x:c r="C50" s="179"/>
      <x:c r="D50" s="179"/>
      <x:c r="E50" s="179"/>
      <x:c r="F50" s="179"/>
      <x:c r="G50" s="179"/>
      <x:c r="H50" s="179"/>
      <x:c r="I50" s="179"/>
      <x:c r="J50" s="63"/>
      <x:c r="K50" s="63"/>
      <x:c r="L50" s="63" t="str">
        <x:f>IF(OR(A50="",J50="",K50=""),"",J50*K50)</x:f>
      </x:c>
      <x:c r="M50" s="63" t="str">
        <x:f>IF(L50="","",IF(L50&gt;='Scoring &amp; Guidance'!$I$7,'Scoring &amp; Guidance'!$H$7,IF(L50&gt;='Scoring &amp; Guidance'!$I$6,'Scoring &amp; Guidance'!$H$6,IF(L50&gt;='Scoring &amp; Guidance'!$I$5,'Scoring &amp; Guidance'!$H$5,'Scoring &amp; Guidance'!$H$4))))</x:f>
      </x:c>
      <x:c r="N50" s="179"/>
      <x:c r="O50" s="179"/>
      <x:c r="P50" s="191"/>
      <x:c r="Q50" s="179"/>
      <x:c r="R50" s="179"/>
      <x:c r="S50" s="63" t="str">
        <x:f>IF(OR(A50="",Q50="",R50=""),"",Q50*R50)</x:f>
      </x:c>
      <x:c r="T50" s="63" t="str">
        <x:f>IF(S50="","",IF(S50&gt;='Scoring &amp; Guidance'!$I$7,'Scoring &amp; Guidance'!$H$7,IF(S50&gt;='Scoring &amp; Guidance'!$I$6,'Scoring &amp; Guidance'!$H$6,IF(S50&gt;='Scoring &amp; Guidance'!$I$5,'Scoring &amp; Guidance'!$H$5,'Scoring &amp; Guidance'!$H$4))))</x:f>
      </x:c>
      <x:c r="U50" s="179"/>
      <x:c r="V50" s="179"/>
    </x:row>
    <x:row r="51" ht="62" customHeight="1">
      <x:c r="A51" s="179"/>
      <x:c r="B51" s="179"/>
      <x:c r="C51" s="179"/>
      <x:c r="D51" s="179"/>
      <x:c r="E51" s="179"/>
      <x:c r="F51" s="179"/>
      <x:c r="G51" s="179"/>
      <x:c r="H51" s="179"/>
      <x:c r="I51" s="179"/>
      <x:c r="J51" s="63"/>
      <x:c r="K51" s="63"/>
      <x:c r="L51" s="63" t="str">
        <x:f>IF(OR(A51="",J51="",K51=""),"",J51*K51)</x:f>
      </x:c>
      <x:c r="M51" s="63" t="str">
        <x:f>IF(L51="","",IF(L51&gt;='Scoring &amp; Guidance'!$I$7,'Scoring &amp; Guidance'!$H$7,IF(L51&gt;='Scoring &amp; Guidance'!$I$6,'Scoring &amp; Guidance'!$H$6,IF(L51&gt;='Scoring &amp; Guidance'!$I$5,'Scoring &amp; Guidance'!$H$5,'Scoring &amp; Guidance'!$H$4))))</x:f>
      </x:c>
      <x:c r="N51" s="179"/>
      <x:c r="O51" s="179"/>
      <x:c r="P51" s="191"/>
      <x:c r="Q51" s="179"/>
      <x:c r="R51" s="179"/>
      <x:c r="S51" s="63" t="str">
        <x:f>IF(OR(A51="",Q51="",R51=""),"",Q51*R51)</x:f>
      </x:c>
      <x:c r="T51" s="63" t="str">
        <x:f>IF(S51="","",IF(S51&gt;='Scoring &amp; Guidance'!$I$7,'Scoring &amp; Guidance'!$H$7,IF(S51&gt;='Scoring &amp; Guidance'!$I$6,'Scoring &amp; Guidance'!$H$6,IF(S51&gt;='Scoring &amp; Guidance'!$I$5,'Scoring &amp; Guidance'!$H$5,'Scoring &amp; Guidance'!$H$4))))</x:f>
      </x:c>
      <x:c r="U51" s="179"/>
      <x:c r="V51" s="179"/>
    </x:row>
    <x:row r="52" ht="62" customHeight="1">
      <x:c r="A52" s="179"/>
      <x:c r="B52" s="179"/>
      <x:c r="C52" s="179"/>
      <x:c r="D52" s="179"/>
      <x:c r="E52" s="179"/>
      <x:c r="F52" s="179"/>
      <x:c r="G52" s="179"/>
      <x:c r="H52" s="179"/>
      <x:c r="I52" s="179"/>
      <x:c r="J52" s="63"/>
      <x:c r="K52" s="63"/>
      <x:c r="L52" s="63" t="str">
        <x:f>IF(OR(A52="",J52="",K52=""),"",J52*K52)</x:f>
      </x:c>
      <x:c r="M52" s="63" t="str">
        <x:f>IF(L52="","",IF(L52&gt;='Scoring &amp; Guidance'!$I$7,'Scoring &amp; Guidance'!$H$7,IF(L52&gt;='Scoring &amp; Guidance'!$I$6,'Scoring &amp; Guidance'!$H$6,IF(L52&gt;='Scoring &amp; Guidance'!$I$5,'Scoring &amp; Guidance'!$H$5,'Scoring &amp; Guidance'!$H$4))))</x:f>
      </x:c>
      <x:c r="N52" s="179"/>
      <x:c r="O52" s="179"/>
      <x:c r="P52" s="191"/>
      <x:c r="Q52" s="179"/>
      <x:c r="R52" s="179"/>
      <x:c r="S52" s="63" t="str">
        <x:f>IF(OR(A52="",Q52="",R52=""),"",Q52*R52)</x:f>
      </x:c>
      <x:c r="T52" s="63" t="str">
        <x:f>IF(S52="","",IF(S52&gt;='Scoring &amp; Guidance'!$I$7,'Scoring &amp; Guidance'!$H$7,IF(S52&gt;='Scoring &amp; Guidance'!$I$6,'Scoring &amp; Guidance'!$H$6,IF(S52&gt;='Scoring &amp; Guidance'!$I$5,'Scoring &amp; Guidance'!$H$5,'Scoring &amp; Guidance'!$H$4))))</x:f>
      </x:c>
      <x:c r="U52" s="179"/>
      <x:c r="V52" s="179"/>
    </x:row>
    <x:row r="53" ht="62" customHeight="1">
      <x:c r="A53" s="179"/>
      <x:c r="B53" s="179"/>
      <x:c r="C53" s="179"/>
      <x:c r="D53" s="179"/>
      <x:c r="E53" s="179"/>
      <x:c r="F53" s="179"/>
      <x:c r="G53" s="179"/>
      <x:c r="H53" s="179"/>
      <x:c r="I53" s="179"/>
      <x:c r="J53" s="63"/>
      <x:c r="K53" s="63"/>
      <x:c r="L53" s="63" t="str">
        <x:f>IF(OR(A53="",J53="",K53=""),"",J53*K53)</x:f>
      </x:c>
      <x:c r="M53" s="63" t="str">
        <x:f>IF(L53="","",IF(L53&gt;='Scoring &amp; Guidance'!$I$7,'Scoring &amp; Guidance'!$H$7,IF(L53&gt;='Scoring &amp; Guidance'!$I$6,'Scoring &amp; Guidance'!$H$6,IF(L53&gt;='Scoring &amp; Guidance'!$I$5,'Scoring &amp; Guidance'!$H$5,'Scoring &amp; Guidance'!$H$4))))</x:f>
      </x:c>
      <x:c r="N53" s="179"/>
      <x:c r="O53" s="179"/>
      <x:c r="P53" s="191"/>
      <x:c r="Q53" s="179"/>
      <x:c r="R53" s="179"/>
      <x:c r="S53" s="63" t="str">
        <x:f>IF(OR(A53="",Q53="",R53=""),"",Q53*R53)</x:f>
      </x:c>
      <x:c r="T53" s="63" t="str">
        <x:f>IF(S53="","",IF(S53&gt;='Scoring &amp; Guidance'!$I$7,'Scoring &amp; Guidance'!$H$7,IF(S53&gt;='Scoring &amp; Guidance'!$I$6,'Scoring &amp; Guidance'!$H$6,IF(S53&gt;='Scoring &amp; Guidance'!$I$5,'Scoring &amp; Guidance'!$H$5,'Scoring &amp; Guidance'!$H$4))))</x:f>
      </x:c>
      <x:c r="U53" s="179"/>
      <x:c r="V53" s="179"/>
    </x:row>
    <x:row r="54" ht="62" customHeight="1">
      <x:c r="A54" s="179"/>
      <x:c r="B54" s="179"/>
      <x:c r="C54" s="179"/>
      <x:c r="D54" s="179"/>
      <x:c r="E54" s="179"/>
      <x:c r="F54" s="179"/>
      <x:c r="G54" s="179"/>
      <x:c r="H54" s="179"/>
      <x:c r="I54" s="179"/>
      <x:c r="J54" s="63"/>
      <x:c r="K54" s="63"/>
      <x:c r="L54" s="63" t="str">
        <x:f>IF(OR(A54="",J54="",K54=""),"",J54*K54)</x:f>
      </x:c>
      <x:c r="M54" s="63" t="str">
        <x:f>IF(L54="","",IF(L54&gt;='Scoring &amp; Guidance'!$I$7,'Scoring &amp; Guidance'!$H$7,IF(L54&gt;='Scoring &amp; Guidance'!$I$6,'Scoring &amp; Guidance'!$H$6,IF(L54&gt;='Scoring &amp; Guidance'!$I$5,'Scoring &amp; Guidance'!$H$5,'Scoring &amp; Guidance'!$H$4))))</x:f>
      </x:c>
      <x:c r="N54" s="179"/>
      <x:c r="O54" s="179"/>
      <x:c r="P54" s="191"/>
      <x:c r="Q54" s="179"/>
      <x:c r="R54" s="179"/>
      <x:c r="S54" s="63" t="str">
        <x:f>IF(OR(A54="",Q54="",R54=""),"",Q54*R54)</x:f>
      </x:c>
      <x:c r="T54" s="63" t="str">
        <x:f>IF(S54="","",IF(S54&gt;='Scoring &amp; Guidance'!$I$7,'Scoring &amp; Guidance'!$H$7,IF(S54&gt;='Scoring &amp; Guidance'!$I$6,'Scoring &amp; Guidance'!$H$6,IF(S54&gt;='Scoring &amp; Guidance'!$I$5,'Scoring &amp; Guidance'!$H$5,'Scoring &amp; Guidance'!$H$4))))</x:f>
      </x:c>
      <x:c r="U54" s="179"/>
      <x:c r="V54" s="179"/>
    </x:row>
    <x:row r="55" ht="62" customHeight="1">
      <x:c r="A55" s="179"/>
      <x:c r="B55" s="179"/>
      <x:c r="C55" s="179"/>
      <x:c r="D55" s="179"/>
      <x:c r="E55" s="179"/>
      <x:c r="F55" s="179"/>
      <x:c r="G55" s="179"/>
      <x:c r="H55" s="179"/>
      <x:c r="I55" s="179"/>
      <x:c r="J55" s="63"/>
      <x:c r="K55" s="63"/>
      <x:c r="L55" s="63" t="str">
        <x:f>IF(OR(A55="",J55="",K55=""),"",J55*K55)</x:f>
      </x:c>
      <x:c r="M55" s="63" t="str">
        <x:f>IF(L55="","",IF(L55&gt;='Scoring &amp; Guidance'!$I$7,'Scoring &amp; Guidance'!$H$7,IF(L55&gt;='Scoring &amp; Guidance'!$I$6,'Scoring &amp; Guidance'!$H$6,IF(L55&gt;='Scoring &amp; Guidance'!$I$5,'Scoring &amp; Guidance'!$H$5,'Scoring &amp; Guidance'!$H$4))))</x:f>
      </x:c>
      <x:c r="N55" s="179"/>
      <x:c r="O55" s="179"/>
      <x:c r="P55" s="191"/>
      <x:c r="Q55" s="179"/>
      <x:c r="R55" s="179"/>
      <x:c r="S55" s="63" t="str">
        <x:f>IF(OR(A55="",Q55="",R55=""),"",Q55*R55)</x:f>
      </x:c>
      <x:c r="T55" s="63" t="str">
        <x:f>IF(S55="","",IF(S55&gt;='Scoring &amp; Guidance'!$I$7,'Scoring &amp; Guidance'!$H$7,IF(S55&gt;='Scoring &amp; Guidance'!$I$6,'Scoring &amp; Guidance'!$H$6,IF(S55&gt;='Scoring &amp; Guidance'!$I$5,'Scoring &amp; Guidance'!$H$5,'Scoring &amp; Guidance'!$H$4))))</x:f>
      </x:c>
      <x:c r="U55" s="179"/>
      <x:c r="V55" s="179"/>
    </x:row>
    <x:row r="56" ht="62" customHeight="1">
      <x:c r="A56" s="179"/>
      <x:c r="B56" s="179"/>
      <x:c r="C56" s="179"/>
      <x:c r="D56" s="179"/>
      <x:c r="E56" s="179"/>
      <x:c r="F56" s="179"/>
      <x:c r="G56" s="179"/>
      <x:c r="H56" s="179"/>
      <x:c r="I56" s="179"/>
      <x:c r="J56" s="63"/>
      <x:c r="K56" s="63"/>
      <x:c r="L56" s="63" t="str">
        <x:f>IF(OR(A56="",J56="",K56=""),"",J56*K56)</x:f>
      </x:c>
      <x:c r="M56" s="63" t="str">
        <x:f>IF(L56="","",IF(L56&gt;='Scoring &amp; Guidance'!$I$7,'Scoring &amp; Guidance'!$H$7,IF(L56&gt;='Scoring &amp; Guidance'!$I$6,'Scoring &amp; Guidance'!$H$6,IF(L56&gt;='Scoring &amp; Guidance'!$I$5,'Scoring &amp; Guidance'!$H$5,'Scoring &amp; Guidance'!$H$4))))</x:f>
      </x:c>
      <x:c r="N56" s="179"/>
      <x:c r="O56" s="179"/>
      <x:c r="P56" s="191"/>
      <x:c r="Q56" s="179"/>
      <x:c r="R56" s="179"/>
      <x:c r="S56" s="63" t="str">
        <x:f>IF(OR(A56="",Q56="",R56=""),"",Q56*R56)</x:f>
      </x:c>
      <x:c r="T56" s="63" t="str">
        <x:f>IF(S56="","",IF(S56&gt;='Scoring &amp; Guidance'!$I$7,'Scoring &amp; Guidance'!$H$7,IF(S56&gt;='Scoring &amp; Guidance'!$I$6,'Scoring &amp; Guidance'!$H$6,IF(S56&gt;='Scoring &amp; Guidance'!$I$5,'Scoring &amp; Guidance'!$H$5,'Scoring &amp; Guidance'!$H$4))))</x:f>
      </x:c>
      <x:c r="U56" s="179"/>
      <x:c r="V56" s="179"/>
    </x:row>
    <x:row r="57" ht="62" customHeight="1">
      <x:c r="A57" s="179"/>
      <x:c r="B57" s="179"/>
      <x:c r="C57" s="179"/>
      <x:c r="D57" s="179"/>
      <x:c r="E57" s="179"/>
      <x:c r="F57" s="179"/>
      <x:c r="G57" s="179"/>
      <x:c r="H57" s="179"/>
      <x:c r="I57" s="179"/>
      <x:c r="J57" s="63"/>
      <x:c r="K57" s="63"/>
      <x:c r="L57" s="63" t="str">
        <x:f>IF(OR(A57="",J57="",K57=""),"",J57*K57)</x:f>
      </x:c>
      <x:c r="M57" s="63" t="str">
        <x:f>IF(L57="","",IF(L57&gt;='Scoring &amp; Guidance'!$I$7,'Scoring &amp; Guidance'!$H$7,IF(L57&gt;='Scoring &amp; Guidance'!$I$6,'Scoring &amp; Guidance'!$H$6,IF(L57&gt;='Scoring &amp; Guidance'!$I$5,'Scoring &amp; Guidance'!$H$5,'Scoring &amp; Guidance'!$H$4))))</x:f>
      </x:c>
      <x:c r="N57" s="179"/>
      <x:c r="O57" s="179"/>
      <x:c r="P57" s="191"/>
      <x:c r="Q57" s="179"/>
      <x:c r="R57" s="179"/>
      <x:c r="S57" s="63" t="str">
        <x:f>IF(OR(A57="",Q57="",R57=""),"",Q57*R57)</x:f>
      </x:c>
      <x:c r="T57" s="63" t="str">
        <x:f>IF(S57="","",IF(S57&gt;='Scoring &amp; Guidance'!$I$7,'Scoring &amp; Guidance'!$H$7,IF(S57&gt;='Scoring &amp; Guidance'!$I$6,'Scoring &amp; Guidance'!$H$6,IF(S57&gt;='Scoring &amp; Guidance'!$I$5,'Scoring &amp; Guidance'!$H$5,'Scoring &amp; Guidance'!$H$4))))</x:f>
      </x:c>
      <x:c r="U57" s="179"/>
      <x:c r="V57" s="179"/>
    </x:row>
    <x:row r="58" ht="62" customHeight="1">
      <x:c r="A58" s="179"/>
      <x:c r="B58" s="179"/>
      <x:c r="C58" s="179"/>
      <x:c r="D58" s="179"/>
      <x:c r="E58" s="179"/>
      <x:c r="F58" s="179"/>
      <x:c r="G58" s="179"/>
      <x:c r="H58" s="179"/>
      <x:c r="I58" s="179"/>
      <x:c r="J58" s="63"/>
      <x:c r="K58" s="63"/>
      <x:c r="L58" s="63" t="str">
        <x:f>IF(OR(A58="",J58="",K58=""),"",J58*K58)</x:f>
      </x:c>
      <x:c r="M58" s="63" t="str">
        <x:f>IF(L58="","",IF(L58&gt;='Scoring &amp; Guidance'!$I$7,'Scoring &amp; Guidance'!$H$7,IF(L58&gt;='Scoring &amp; Guidance'!$I$6,'Scoring &amp; Guidance'!$H$6,IF(L58&gt;='Scoring &amp; Guidance'!$I$5,'Scoring &amp; Guidance'!$H$5,'Scoring &amp; Guidance'!$H$4))))</x:f>
      </x:c>
      <x:c r="N58" s="179"/>
      <x:c r="O58" s="179"/>
      <x:c r="P58" s="191"/>
      <x:c r="Q58" s="179"/>
      <x:c r="R58" s="179"/>
      <x:c r="S58" s="63" t="str">
        <x:f>IF(OR(A58="",Q58="",R58=""),"",Q58*R58)</x:f>
      </x:c>
      <x:c r="T58" s="63" t="str">
        <x:f>IF(S58="","",IF(S58&gt;='Scoring &amp; Guidance'!$I$7,'Scoring &amp; Guidance'!$H$7,IF(S58&gt;='Scoring &amp; Guidance'!$I$6,'Scoring &amp; Guidance'!$H$6,IF(S58&gt;='Scoring &amp; Guidance'!$I$5,'Scoring &amp; Guidance'!$H$5,'Scoring &amp; Guidance'!$H$4))))</x:f>
      </x:c>
      <x:c r="U58" s="179"/>
      <x:c r="V58" s="179"/>
    </x:row>
    <x:row r="59" ht="62" customHeight="1">
      <x:c r="A59" s="179"/>
      <x:c r="B59" s="179"/>
      <x:c r="C59" s="179"/>
      <x:c r="D59" s="179"/>
      <x:c r="E59" s="179"/>
      <x:c r="F59" s="179"/>
      <x:c r="G59" s="179"/>
      <x:c r="H59" s="179"/>
      <x:c r="I59" s="179"/>
      <x:c r="J59" s="63"/>
      <x:c r="K59" s="63"/>
      <x:c r="L59" s="63" t="str">
        <x:f>IF(OR(A59="",J59="",K59=""),"",J59*K59)</x:f>
      </x:c>
      <x:c r="M59" s="63" t="str">
        <x:f>IF(L59="","",IF(L59&gt;='Scoring &amp; Guidance'!$I$7,'Scoring &amp; Guidance'!$H$7,IF(L59&gt;='Scoring &amp; Guidance'!$I$6,'Scoring &amp; Guidance'!$H$6,IF(L59&gt;='Scoring &amp; Guidance'!$I$5,'Scoring &amp; Guidance'!$H$5,'Scoring &amp; Guidance'!$H$4))))</x:f>
      </x:c>
      <x:c r="N59" s="179"/>
      <x:c r="O59" s="179"/>
      <x:c r="P59" s="191"/>
      <x:c r="Q59" s="179"/>
      <x:c r="R59" s="179"/>
      <x:c r="S59" s="63" t="str">
        <x:f>IF(OR(A59="",Q59="",R59=""),"",Q59*R59)</x:f>
      </x:c>
      <x:c r="T59" s="63" t="str">
        <x:f>IF(S59="","",IF(S59&gt;='Scoring &amp; Guidance'!$I$7,'Scoring &amp; Guidance'!$H$7,IF(S59&gt;='Scoring &amp; Guidance'!$I$6,'Scoring &amp; Guidance'!$H$6,IF(S59&gt;='Scoring &amp; Guidance'!$I$5,'Scoring &amp; Guidance'!$H$5,'Scoring &amp; Guidance'!$H$4))))</x:f>
      </x:c>
      <x:c r="U59" s="179"/>
      <x:c r="V59" s="179"/>
    </x:row>
    <x:row r="60" ht="62" customHeight="1">
      <x:c r="A60" s="179"/>
      <x:c r="B60" s="179"/>
      <x:c r="C60" s="179"/>
      <x:c r="D60" s="179"/>
      <x:c r="E60" s="179"/>
      <x:c r="F60" s="179"/>
      <x:c r="G60" s="179"/>
      <x:c r="H60" s="179"/>
      <x:c r="I60" s="179"/>
      <x:c r="J60" s="63"/>
      <x:c r="K60" s="63"/>
      <x:c r="L60" s="63" t="str">
        <x:f>IF(OR(A60="",J60="",K60=""),"",J60*K60)</x:f>
      </x:c>
      <x:c r="M60" s="63" t="str">
        <x:f>IF(L60="","",IF(L60&gt;='Scoring &amp; Guidance'!$I$7,'Scoring &amp; Guidance'!$H$7,IF(L60&gt;='Scoring &amp; Guidance'!$I$6,'Scoring &amp; Guidance'!$H$6,IF(L60&gt;='Scoring &amp; Guidance'!$I$5,'Scoring &amp; Guidance'!$H$5,'Scoring &amp; Guidance'!$H$4))))</x:f>
      </x:c>
      <x:c r="N60" s="179"/>
      <x:c r="O60" s="179"/>
      <x:c r="P60" s="191"/>
      <x:c r="Q60" s="179"/>
      <x:c r="R60" s="179"/>
      <x:c r="S60" s="63" t="str">
        <x:f>IF(OR(A60="",Q60="",R60=""),"",Q60*R60)</x:f>
      </x:c>
      <x:c r="T60" s="63" t="str">
        <x:f>IF(S60="","",IF(S60&gt;='Scoring &amp; Guidance'!$I$7,'Scoring &amp; Guidance'!$H$7,IF(S60&gt;='Scoring &amp; Guidance'!$I$6,'Scoring &amp; Guidance'!$H$6,IF(S60&gt;='Scoring &amp; Guidance'!$I$5,'Scoring &amp; Guidance'!$H$5,'Scoring &amp; Guidance'!$H$4))))</x:f>
      </x:c>
      <x:c r="U60" s="179"/>
      <x:c r="V60" s="179"/>
    </x:row>
    <x:row r="61" ht="62" customHeight="1">
      <x:c r="A61" s="179"/>
      <x:c r="B61" s="179"/>
      <x:c r="C61" s="179"/>
      <x:c r="D61" s="179"/>
      <x:c r="E61" s="179"/>
      <x:c r="F61" s="179"/>
      <x:c r="G61" s="179"/>
      <x:c r="H61" s="179"/>
      <x:c r="I61" s="179"/>
      <x:c r="J61" s="63"/>
      <x:c r="K61" s="63"/>
      <x:c r="L61" s="63" t="str">
        <x:f>IF(OR(A61="",J61="",K61=""),"",J61*K61)</x:f>
      </x:c>
      <x:c r="M61" s="63" t="str">
        <x:f>IF(L61="","",IF(L61&gt;='Scoring &amp; Guidance'!$I$7,'Scoring &amp; Guidance'!$H$7,IF(L61&gt;='Scoring &amp; Guidance'!$I$6,'Scoring &amp; Guidance'!$H$6,IF(L61&gt;='Scoring &amp; Guidance'!$I$5,'Scoring &amp; Guidance'!$H$5,'Scoring &amp; Guidance'!$H$4))))</x:f>
      </x:c>
      <x:c r="N61" s="179"/>
      <x:c r="O61" s="179"/>
      <x:c r="P61" s="191"/>
      <x:c r="Q61" s="179"/>
      <x:c r="R61" s="179"/>
      <x:c r="S61" s="63" t="str">
        <x:f>IF(OR(A61="",Q61="",R61=""),"",Q61*R61)</x:f>
      </x:c>
      <x:c r="T61" s="63" t="str">
        <x:f>IF(S61="","",IF(S61&gt;='Scoring &amp; Guidance'!$I$7,'Scoring &amp; Guidance'!$H$7,IF(S61&gt;='Scoring &amp; Guidance'!$I$6,'Scoring &amp; Guidance'!$H$6,IF(S61&gt;='Scoring &amp; Guidance'!$I$5,'Scoring &amp; Guidance'!$H$5,'Scoring &amp; Guidance'!$H$4))))</x:f>
      </x:c>
      <x:c r="U61" s="179"/>
      <x:c r="V61" s="179"/>
    </x:row>
    <x:row r="62" ht="62" customHeight="1">
      <x:c r="A62" s="179"/>
      <x:c r="B62" s="179"/>
      <x:c r="C62" s="179"/>
      <x:c r="D62" s="179"/>
      <x:c r="E62" s="179"/>
      <x:c r="F62" s="179"/>
      <x:c r="G62" s="179"/>
      <x:c r="H62" s="179"/>
      <x:c r="I62" s="179"/>
      <x:c r="J62" s="63"/>
      <x:c r="K62" s="63"/>
      <x:c r="L62" s="63" t="str">
        <x:f>IF(OR(A62="",J62="",K62=""),"",J62*K62)</x:f>
      </x:c>
      <x:c r="M62" s="63" t="str">
        <x:f>IF(L62="","",IF(L62&gt;='Scoring &amp; Guidance'!$I$7,'Scoring &amp; Guidance'!$H$7,IF(L62&gt;='Scoring &amp; Guidance'!$I$6,'Scoring &amp; Guidance'!$H$6,IF(L62&gt;='Scoring &amp; Guidance'!$I$5,'Scoring &amp; Guidance'!$H$5,'Scoring &amp; Guidance'!$H$4))))</x:f>
      </x:c>
      <x:c r="N62" s="179"/>
      <x:c r="O62" s="179"/>
      <x:c r="P62" s="191"/>
      <x:c r="Q62" s="179"/>
      <x:c r="R62" s="179"/>
      <x:c r="S62" s="63" t="str">
        <x:f>IF(OR(A62="",Q62="",R62=""),"",Q62*R62)</x:f>
      </x:c>
      <x:c r="T62" s="63" t="str">
        <x:f>IF(S62="","",IF(S62&gt;='Scoring &amp; Guidance'!$I$7,'Scoring &amp; Guidance'!$H$7,IF(S62&gt;='Scoring &amp; Guidance'!$I$6,'Scoring &amp; Guidance'!$H$6,IF(S62&gt;='Scoring &amp; Guidance'!$I$5,'Scoring &amp; Guidance'!$H$5,'Scoring &amp; Guidance'!$H$4))))</x:f>
      </x:c>
      <x:c r="U62" s="179"/>
      <x:c r="V62" s="179"/>
    </x:row>
    <x:row r="63" ht="62" customHeight="1">
      <x:c r="A63" s="179"/>
      <x:c r="B63" s="179"/>
      <x:c r="C63" s="179"/>
      <x:c r="D63" s="179"/>
      <x:c r="E63" s="179"/>
      <x:c r="F63" s="179"/>
      <x:c r="G63" s="179"/>
      <x:c r="H63" s="179"/>
      <x:c r="I63" s="179"/>
      <x:c r="J63" s="63"/>
      <x:c r="K63" s="63"/>
      <x:c r="L63" s="63" t="str">
        <x:f>IF(OR(A63="",J63="",K63=""),"",J63*K63)</x:f>
      </x:c>
      <x:c r="M63" s="63" t="str">
        <x:f>IF(L63="","",IF(L63&gt;='Scoring &amp; Guidance'!$I$7,'Scoring &amp; Guidance'!$H$7,IF(L63&gt;='Scoring &amp; Guidance'!$I$6,'Scoring &amp; Guidance'!$H$6,IF(L63&gt;='Scoring &amp; Guidance'!$I$5,'Scoring &amp; Guidance'!$H$5,'Scoring &amp; Guidance'!$H$4))))</x:f>
      </x:c>
      <x:c r="N63" s="179"/>
      <x:c r="O63" s="179"/>
      <x:c r="P63" s="191"/>
      <x:c r="Q63" s="179"/>
      <x:c r="R63" s="179"/>
      <x:c r="S63" s="63" t="str">
        <x:f>IF(OR(A63="",Q63="",R63=""),"",Q63*R63)</x:f>
      </x:c>
      <x:c r="T63" s="63" t="str">
        <x:f>IF(S63="","",IF(S63&gt;='Scoring &amp; Guidance'!$I$7,'Scoring &amp; Guidance'!$H$7,IF(S63&gt;='Scoring &amp; Guidance'!$I$6,'Scoring &amp; Guidance'!$H$6,IF(S63&gt;='Scoring &amp; Guidance'!$I$5,'Scoring &amp; Guidance'!$H$5,'Scoring &amp; Guidance'!$H$4))))</x:f>
      </x:c>
      <x:c r="U63" s="179"/>
      <x:c r="V63" s="179"/>
    </x:row>
    <x:row r="64" ht="62" customHeight="1">
      <x:c r="A64" s="179"/>
      <x:c r="B64" s="179"/>
      <x:c r="C64" s="179"/>
      <x:c r="D64" s="179"/>
      <x:c r="E64" s="179"/>
      <x:c r="F64" s="179"/>
      <x:c r="G64" s="179"/>
      <x:c r="H64" s="179"/>
      <x:c r="I64" s="179"/>
      <x:c r="J64" s="63"/>
      <x:c r="K64" s="63"/>
      <x:c r="L64" s="63" t="str">
        <x:f>IF(OR(A64="",J64="",K64=""),"",J64*K64)</x:f>
      </x:c>
      <x:c r="M64" s="63" t="str">
        <x:f>IF(L64="","",IF(L64&gt;='Scoring &amp; Guidance'!$I$7,'Scoring &amp; Guidance'!$H$7,IF(L64&gt;='Scoring &amp; Guidance'!$I$6,'Scoring &amp; Guidance'!$H$6,IF(L64&gt;='Scoring &amp; Guidance'!$I$5,'Scoring &amp; Guidance'!$H$5,'Scoring &amp; Guidance'!$H$4))))</x:f>
      </x:c>
      <x:c r="N64" s="179"/>
      <x:c r="O64" s="179"/>
      <x:c r="P64" s="191"/>
      <x:c r="Q64" s="179"/>
      <x:c r="R64" s="179"/>
      <x:c r="S64" s="63" t="str">
        <x:f>IF(OR(A64="",Q64="",R64=""),"",Q64*R64)</x:f>
      </x:c>
      <x:c r="T64" s="63" t="str">
        <x:f>IF(S64="","",IF(S64&gt;='Scoring &amp; Guidance'!$I$7,'Scoring &amp; Guidance'!$H$7,IF(S64&gt;='Scoring &amp; Guidance'!$I$6,'Scoring &amp; Guidance'!$H$6,IF(S64&gt;='Scoring &amp; Guidance'!$I$5,'Scoring &amp; Guidance'!$H$5,'Scoring &amp; Guidance'!$H$4))))</x:f>
      </x:c>
      <x:c r="U64" s="179"/>
      <x:c r="V64" s="179"/>
    </x:row>
    <x:row r="65" ht="62" customHeight="1">
      <x:c r="A65" s="179"/>
      <x:c r="B65" s="179"/>
      <x:c r="C65" s="179"/>
      <x:c r="D65" s="179"/>
      <x:c r="E65" s="179"/>
      <x:c r="F65" s="179"/>
      <x:c r="G65" s="179"/>
      <x:c r="H65" s="179"/>
      <x:c r="I65" s="179"/>
      <x:c r="J65" s="63"/>
      <x:c r="K65" s="63"/>
      <x:c r="L65" s="63" t="str">
        <x:f>IF(OR(A65="",J65="",K65=""),"",J65*K65)</x:f>
      </x:c>
      <x:c r="M65" s="63" t="str">
        <x:f>IF(L65="","",IF(L65&gt;='Scoring &amp; Guidance'!$I$7,'Scoring &amp; Guidance'!$H$7,IF(L65&gt;='Scoring &amp; Guidance'!$I$6,'Scoring &amp; Guidance'!$H$6,IF(L65&gt;='Scoring &amp; Guidance'!$I$5,'Scoring &amp; Guidance'!$H$5,'Scoring &amp; Guidance'!$H$4))))</x:f>
      </x:c>
      <x:c r="N65" s="179"/>
      <x:c r="O65" s="179"/>
      <x:c r="P65" s="191"/>
      <x:c r="Q65" s="179"/>
      <x:c r="R65" s="179"/>
      <x:c r="S65" s="63" t="str">
        <x:f>IF(OR(A65="",Q65="",R65=""),"",Q65*R65)</x:f>
      </x:c>
      <x:c r="T65" s="63" t="str">
        <x:f>IF(S65="","",IF(S65&gt;='Scoring &amp; Guidance'!$I$7,'Scoring &amp; Guidance'!$H$7,IF(S65&gt;='Scoring &amp; Guidance'!$I$6,'Scoring &amp; Guidance'!$H$6,IF(S65&gt;='Scoring &amp; Guidance'!$I$5,'Scoring &amp; Guidance'!$H$5,'Scoring &amp; Guidance'!$H$4))))</x:f>
      </x:c>
      <x:c r="U65" s="179"/>
      <x:c r="V65" s="179"/>
    </x:row>
    <x:row r="66" ht="62" customHeight="1">
      <x:c r="A66" s="179"/>
      <x:c r="B66" s="179"/>
      <x:c r="C66" s="179"/>
      <x:c r="D66" s="179"/>
      <x:c r="E66" s="179"/>
      <x:c r="F66" s="179"/>
      <x:c r="G66" s="179"/>
      <x:c r="H66" s="179"/>
      <x:c r="I66" s="179"/>
      <x:c r="J66" s="63"/>
      <x:c r="K66" s="63"/>
      <x:c r="L66" s="63" t="str">
        <x:f>IF(OR(A66="",J66="",K66=""),"",J66*K66)</x:f>
      </x:c>
      <x:c r="M66" s="63" t="str">
        <x:f>IF(L66="","",IF(L66&gt;='Scoring &amp; Guidance'!$I$7,'Scoring &amp; Guidance'!$H$7,IF(L66&gt;='Scoring &amp; Guidance'!$I$6,'Scoring &amp; Guidance'!$H$6,IF(L66&gt;='Scoring &amp; Guidance'!$I$5,'Scoring &amp; Guidance'!$H$5,'Scoring &amp; Guidance'!$H$4))))</x:f>
      </x:c>
      <x:c r="N66" s="179"/>
      <x:c r="O66" s="179"/>
      <x:c r="P66" s="191"/>
      <x:c r="Q66" s="179"/>
      <x:c r="R66" s="179"/>
      <x:c r="S66" s="63" t="str">
        <x:f>IF(OR(A66="",Q66="",R66=""),"",Q66*R66)</x:f>
      </x:c>
      <x:c r="T66" s="63" t="str">
        <x:f>IF(S66="","",IF(S66&gt;='Scoring &amp; Guidance'!$I$7,'Scoring &amp; Guidance'!$H$7,IF(S66&gt;='Scoring &amp; Guidance'!$I$6,'Scoring &amp; Guidance'!$H$6,IF(S66&gt;='Scoring &amp; Guidance'!$I$5,'Scoring &amp; Guidance'!$H$5,'Scoring &amp; Guidance'!$H$4))))</x:f>
      </x:c>
      <x:c r="U66" s="179"/>
      <x:c r="V66" s="179"/>
    </x:row>
    <x:row r="67" ht="62" customHeight="1">
      <x:c r="A67" s="179"/>
      <x:c r="B67" s="179"/>
      <x:c r="C67" s="179"/>
      <x:c r="D67" s="179"/>
      <x:c r="E67" s="179"/>
      <x:c r="F67" s="179"/>
      <x:c r="G67" s="179"/>
      <x:c r="H67" s="179"/>
      <x:c r="I67" s="179"/>
      <x:c r="J67" s="63"/>
      <x:c r="K67" s="63"/>
      <x:c r="L67" s="63" t="str">
        <x:f>IF(OR(A67="",J67="",K67=""),"",J67*K67)</x:f>
      </x:c>
      <x:c r="M67" s="63" t="str">
        <x:f>IF(L67="","",IF(L67&gt;='Scoring &amp; Guidance'!$I$7,'Scoring &amp; Guidance'!$H$7,IF(L67&gt;='Scoring &amp; Guidance'!$I$6,'Scoring &amp; Guidance'!$H$6,IF(L67&gt;='Scoring &amp; Guidance'!$I$5,'Scoring &amp; Guidance'!$H$5,'Scoring &amp; Guidance'!$H$4))))</x:f>
      </x:c>
      <x:c r="N67" s="179"/>
      <x:c r="O67" s="179"/>
      <x:c r="P67" s="191"/>
      <x:c r="Q67" s="179"/>
      <x:c r="R67" s="179"/>
      <x:c r="S67" s="63" t="str">
        <x:f>IF(OR(A67="",Q67="",R67=""),"",Q67*R67)</x:f>
      </x:c>
      <x:c r="T67" s="63" t="str">
        <x:f>IF(S67="","",IF(S67&gt;='Scoring &amp; Guidance'!$I$7,'Scoring &amp; Guidance'!$H$7,IF(S67&gt;='Scoring &amp; Guidance'!$I$6,'Scoring &amp; Guidance'!$H$6,IF(S67&gt;='Scoring &amp; Guidance'!$I$5,'Scoring &amp; Guidance'!$H$5,'Scoring &amp; Guidance'!$H$4))))</x:f>
      </x:c>
      <x:c r="U67" s="179"/>
      <x:c r="V67" s="179"/>
    </x:row>
    <x:row r="68" ht="62" customHeight="1">
      <x:c r="A68" s="179"/>
      <x:c r="B68" s="179"/>
      <x:c r="C68" s="179"/>
      <x:c r="D68" s="179"/>
      <x:c r="E68" s="179"/>
      <x:c r="F68" s="179"/>
      <x:c r="G68" s="179"/>
      <x:c r="H68" s="179"/>
      <x:c r="I68" s="179"/>
      <x:c r="J68" s="63"/>
      <x:c r="K68" s="63"/>
      <x:c r="L68" s="63" t="str">
        <x:f>IF(OR(A68="",J68="",K68=""),"",J68*K68)</x:f>
      </x:c>
      <x:c r="M68" s="63" t="str">
        <x:f>IF(L68="","",IF(L68&gt;='Scoring &amp; Guidance'!$I$7,'Scoring &amp; Guidance'!$H$7,IF(L68&gt;='Scoring &amp; Guidance'!$I$6,'Scoring &amp; Guidance'!$H$6,IF(L68&gt;='Scoring &amp; Guidance'!$I$5,'Scoring &amp; Guidance'!$H$5,'Scoring &amp; Guidance'!$H$4))))</x:f>
      </x:c>
      <x:c r="N68" s="179"/>
      <x:c r="O68" s="179"/>
      <x:c r="P68" s="191"/>
      <x:c r="Q68" s="179"/>
      <x:c r="R68" s="179"/>
      <x:c r="S68" s="63" t="str">
        <x:f>IF(OR(A68="",Q68="",R68=""),"",Q68*R68)</x:f>
      </x:c>
      <x:c r="T68" s="63" t="str">
        <x:f>IF(S68="","",IF(S68&gt;='Scoring &amp; Guidance'!$I$7,'Scoring &amp; Guidance'!$H$7,IF(S68&gt;='Scoring &amp; Guidance'!$I$6,'Scoring &amp; Guidance'!$H$6,IF(S68&gt;='Scoring &amp; Guidance'!$I$5,'Scoring &amp; Guidance'!$H$5,'Scoring &amp; Guidance'!$H$4))))</x:f>
      </x:c>
      <x:c r="U68" s="179"/>
      <x:c r="V68" s="179"/>
    </x:row>
    <x:row r="69" ht="62" customHeight="1">
      <x:c r="A69" s="179"/>
      <x:c r="B69" s="179"/>
      <x:c r="C69" s="179"/>
      <x:c r="D69" s="179"/>
      <x:c r="E69" s="179"/>
      <x:c r="F69" s="179"/>
      <x:c r="G69" s="179"/>
      <x:c r="H69" s="179"/>
      <x:c r="I69" s="179"/>
      <x:c r="J69" s="63"/>
      <x:c r="K69" s="63"/>
      <x:c r="L69" s="63" t="str">
        <x:f>IF(OR(A69="",J69="",K69=""),"",J69*K69)</x:f>
      </x:c>
      <x:c r="M69" s="63" t="str">
        <x:f>IF(L69="","",IF(L69&gt;='Scoring &amp; Guidance'!$I$7,'Scoring &amp; Guidance'!$H$7,IF(L69&gt;='Scoring &amp; Guidance'!$I$6,'Scoring &amp; Guidance'!$H$6,IF(L69&gt;='Scoring &amp; Guidance'!$I$5,'Scoring &amp; Guidance'!$H$5,'Scoring &amp; Guidance'!$H$4))))</x:f>
      </x:c>
      <x:c r="N69" s="179"/>
      <x:c r="O69" s="179"/>
      <x:c r="P69" s="191"/>
      <x:c r="Q69" s="179"/>
      <x:c r="R69" s="179"/>
      <x:c r="S69" s="63" t="str">
        <x:f>IF(OR(A69="",Q69="",R69=""),"",Q69*R69)</x:f>
      </x:c>
      <x:c r="T69" s="63" t="str">
        <x:f>IF(S69="","",IF(S69&gt;='Scoring &amp; Guidance'!$I$7,'Scoring &amp; Guidance'!$H$7,IF(S69&gt;='Scoring &amp; Guidance'!$I$6,'Scoring &amp; Guidance'!$H$6,IF(S69&gt;='Scoring &amp; Guidance'!$I$5,'Scoring &amp; Guidance'!$H$5,'Scoring &amp; Guidance'!$H$4))))</x:f>
      </x:c>
      <x:c r="U69" s="179"/>
      <x:c r="V69" s="179"/>
    </x:row>
    <x:row r="70" ht="62" customHeight="1">
      <x:c r="A70" s="179"/>
      <x:c r="B70" s="179"/>
      <x:c r="C70" s="179"/>
      <x:c r="D70" s="179"/>
      <x:c r="E70" s="179"/>
      <x:c r="F70" s="179"/>
      <x:c r="G70" s="179"/>
      <x:c r="H70" s="179"/>
      <x:c r="I70" s="179"/>
      <x:c r="J70" s="63"/>
      <x:c r="K70" s="63"/>
      <x:c r="L70" s="63" t="str">
        <x:f>IF(OR(A70="",J70="",K70=""),"",J70*K70)</x:f>
      </x:c>
      <x:c r="M70" s="63" t="str">
        <x:f>IF(L70="","",IF(L70&gt;='Scoring &amp; Guidance'!$I$7,'Scoring &amp; Guidance'!$H$7,IF(L70&gt;='Scoring &amp; Guidance'!$I$6,'Scoring &amp; Guidance'!$H$6,IF(L70&gt;='Scoring &amp; Guidance'!$I$5,'Scoring &amp; Guidance'!$H$5,'Scoring &amp; Guidance'!$H$4))))</x:f>
      </x:c>
      <x:c r="N70" s="179"/>
      <x:c r="O70" s="179"/>
      <x:c r="P70" s="191"/>
      <x:c r="Q70" s="179"/>
      <x:c r="R70" s="179"/>
      <x:c r="S70" s="63" t="str">
        <x:f>IF(OR(A70="",Q70="",R70=""),"",Q70*R70)</x:f>
      </x:c>
      <x:c r="T70" s="63" t="str">
        <x:f>IF(S70="","",IF(S70&gt;='Scoring &amp; Guidance'!$I$7,'Scoring &amp; Guidance'!$H$7,IF(S70&gt;='Scoring &amp; Guidance'!$I$6,'Scoring &amp; Guidance'!$H$6,IF(S70&gt;='Scoring &amp; Guidance'!$I$5,'Scoring &amp; Guidance'!$H$5,'Scoring &amp; Guidance'!$H$4))))</x:f>
      </x:c>
      <x:c r="U70" s="179"/>
      <x:c r="V70" s="179"/>
    </x:row>
    <x:row r="71" ht="62" customHeight="1">
      <x:c r="A71" s="179"/>
      <x:c r="B71" s="179"/>
      <x:c r="C71" s="179"/>
      <x:c r="D71" s="179"/>
      <x:c r="E71" s="179"/>
      <x:c r="F71" s="179"/>
      <x:c r="G71" s="179"/>
      <x:c r="H71" s="179"/>
      <x:c r="I71" s="179"/>
      <x:c r="J71" s="63"/>
      <x:c r="K71" s="63"/>
      <x:c r="L71" s="63" t="str">
        <x:f>IF(OR(A71="",J71="",K71=""),"",J71*K71)</x:f>
      </x:c>
      <x:c r="M71" s="63" t="str">
        <x:f>IF(L71="","",IF(L71&gt;='Scoring &amp; Guidance'!$I$7,'Scoring &amp; Guidance'!$H$7,IF(L71&gt;='Scoring &amp; Guidance'!$I$6,'Scoring &amp; Guidance'!$H$6,IF(L71&gt;='Scoring &amp; Guidance'!$I$5,'Scoring &amp; Guidance'!$H$5,'Scoring &amp; Guidance'!$H$4))))</x:f>
      </x:c>
      <x:c r="N71" s="179"/>
      <x:c r="O71" s="179"/>
      <x:c r="P71" s="191"/>
      <x:c r="Q71" s="179"/>
      <x:c r="R71" s="179"/>
      <x:c r="S71" s="63" t="str">
        <x:f>IF(OR(A71="",Q71="",R71=""),"",Q71*R71)</x:f>
      </x:c>
      <x:c r="T71" s="63" t="str">
        <x:f>IF(S71="","",IF(S71&gt;='Scoring &amp; Guidance'!$I$7,'Scoring &amp; Guidance'!$H$7,IF(S71&gt;='Scoring &amp; Guidance'!$I$6,'Scoring &amp; Guidance'!$H$6,IF(S71&gt;='Scoring &amp; Guidance'!$I$5,'Scoring &amp; Guidance'!$H$5,'Scoring &amp; Guidance'!$H$4))))</x:f>
      </x:c>
      <x:c r="U71" s="179"/>
      <x:c r="V71" s="179"/>
    </x:row>
  </x:sheetData>
  <x:mergeCells>
    <x:mergeCell ref="A1:V1"/>
    <x:mergeCell ref="A2:V2"/>
    <x:mergeCell ref="B4:D4"/>
    <x:mergeCell ref="F4:H4"/>
    <x:mergeCell ref="J4:L4"/>
    <x:mergeCell ref="N4:P4"/>
    <x:mergeCell ref="R4:V4"/>
    <x:mergeCell ref="B5:D5"/>
    <x:mergeCell ref="F5:H5"/>
    <x:mergeCell ref="J5:L5"/>
    <x:mergeCell ref="N5:P5"/>
    <x:mergeCell ref="R5:V5"/>
    <x:mergeCell ref="B6:D6"/>
    <x:mergeCell ref="F6:H6"/>
    <x:mergeCell ref="J6:L6"/>
    <x:mergeCell ref="N6:P6"/>
    <x:mergeCell ref="R6:V6"/>
    <x:mergeCell ref="A8:E8"/>
    <x:mergeCell ref="A9:E9"/>
    <x:mergeCell ref="F8:J8"/>
    <x:mergeCell ref="F9:J9"/>
    <x:mergeCell ref="K8:O8"/>
    <x:mergeCell ref="K9:O9"/>
    <x:mergeCell ref="P8:V8"/>
    <x:mergeCell ref="P9:V9"/>
  </x:mergeCells>
  <x:conditionalFormatting sqref="H12:H71">
    <x:cfRule type="containsText" dxfId="7" priority="1" operator="containsText" text="Risk"/>
    <x:cfRule type="containsText" dxfId="8" priority="2" operator="containsText" text="Gap"/>
    <x:cfRule type="containsText" dxfId="9" priority="3" operator="containsText" text="Decision Required"/>
    <x:cfRule type="containsText" dxfId="10" priority="4" operator="containsText" text="Closed"/>
  </x:conditionalFormatting>
  <x:conditionalFormatting sqref="L12:L71">
    <x:cfRule type="cellIs" dxfId="11" priority="5" operator="greaterThanOrEqual">
      <x:formula>1</x:formula>
    </x:cfRule>
    <x:cfRule type="cellIs" dxfId="12" priority="6" operator="greaterThanOrEqual">
      <x:formula>5</x:formula>
    </x:cfRule>
    <x:cfRule type="cellIs" dxfId="13" priority="7" operator="greaterThanOrEqual">
      <x:formula>10</x:formula>
    </x:cfRule>
    <x:cfRule type="cellIs" dxfId="14" priority="8" operator="greaterThanOrEqual">
      <x:formula>17</x:formula>
    </x:cfRule>
  </x:conditionalFormatting>
  <x:conditionalFormatting sqref="S12:S71">
    <x:cfRule type="cellIs" dxfId="15" priority="9" operator="greaterThanOrEqual">
      <x:formula>1</x:formula>
    </x:cfRule>
    <x:cfRule type="cellIs" dxfId="16" priority="10" operator="greaterThanOrEqual">
      <x:formula>5</x:formula>
    </x:cfRule>
    <x:cfRule type="cellIs" dxfId="17" priority="11" operator="greaterThanOrEqual">
      <x:formula>10</x:formula>
    </x:cfRule>
    <x:cfRule type="cellIs" dxfId="18" priority="12" operator="greaterThanOrEqual">
      <x:formula>17</x:formula>
    </x:cfRule>
  </x:conditionalFormatting>
  <x:dataValidations count="5">
    <x:dataValidation type="list" sqref="H12:H71">
      <x:formula1>"Gap,Risk,Decision Required,Accepted Risk,Closed"</x:formula1>
    </x:dataValidation>
    <x:dataValidation type="whole" operator="between" sqref="J12:J71">
      <x:formula1>1</x:formula1>
      <x:formula2>5</x:formula2>
    </x:dataValidation>
    <x:dataValidation type="whole" operator="between" sqref="K12:K71">
      <x:formula1>1</x:formula1>
      <x:formula2>5</x:formula2>
    </x:dataValidation>
    <x:dataValidation type="whole" operator="between" sqref="Q12:Q71">
      <x:formula1>1</x:formula1>
      <x:formula2>5</x:formula2>
    </x:dataValidation>
    <x:dataValidation type="whole" operator="between" sqref="R12:R71">
      <x:formula1>1</x:formula1>
      <x:formula2>5</x:formula2>
    </x:dataValidation>
  </x:dataValidations>
  <x:pageMargins left="0.7" right="0.7" top="0.75" bottom="0.75" header="0.3" footer="0.3"/>
  <x:tableParts count="1">
    <x:tablePart xmlns:r="http://schemas.openxmlformats.org/officeDocument/2006/relationships" r:id="R666af6afc00a470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50" hidden="0" customWidth="1"/>
    <x:col min="4" max="4" width="36" hidden="0" customWidth="1"/>
    <x:col min="5" max="5" width="18" hidden="0" customWidth="1"/>
    <x:col min="6" max="6" width="34" hidden="0" customWidth="1"/>
    <x:col min="7" max="7" width="42" hidden="0" customWidth="1"/>
    <x:col min="8" max="8" width="16" hidden="0" customWidth="1"/>
    <x:col min="9" max="9" width="30" hidden="0" customWidth="1"/>
    <x:col min="10" max="10" width="16" hidden="0" customWidth="1"/>
    <x:col min="11" max="11" width="30" hidden="0" customWidth="1"/>
    <x:col min="12" max="12" width="26" hidden="0" customWidth="1"/>
    <x:col min="13" max="13" width="20" hidden="0" customWidth="1"/>
    <x:col min="14" max="14" width="13" hidden="0" customWidth="1"/>
  </x:cols>
  <x:sheetData>
    <x:row r="1" ht="34" customHeight="1">
      <x:c r="A1" s="6" t="str">
        <x:v>Due Diligence Evidence</x:v>
      </x:c>
      <x:c r="B1" s="6"/>
      <x:c r="C1" s="6"/>
      <x:c r="D1" s="6"/>
      <x:c r="E1" s="6"/>
      <x:c r="F1" s="6"/>
      <x:c r="G1" s="6"/>
      <x:c r="H1" s="6"/>
      <x:c r="I1" s="6"/>
      <x:c r="J1" s="6"/>
      <x:c r="K1" s="6"/>
      <x:c r="L1" s="6"/>
      <x:c r="M1" s="6"/>
      <x:c r="N1" s="6"/>
    </x:row>
    <x:row r="2" ht="34" customHeight="1">
      <x:c r="A2" s="12" t="str">
        <x:v>Evidence and control-attestation layer. Record only evidence relevant to the detected solution; architecture consequences are selected through the Question Router and linked to material findings.</x:v>
      </x:c>
      <x:c r="B2" s="12"/>
      <x:c r="C2" s="12"/>
      <x:c r="D2" s="12"/>
      <x:c r="E2" s="12"/>
      <x:c r="F2" s="12"/>
      <x:c r="G2" s="12"/>
      <x:c r="H2" s="12"/>
      <x:c r="I2" s="12"/>
      <x:c r="J2" s="12"/>
      <x:c r="K2" s="12"/>
      <x:c r="L2" s="12"/>
      <x:c r="M2" s="12"/>
      <x:c r="N2" s="12"/>
    </x:row>
    <x:row r="3">
      <x:c r="A3" s="2"/>
      <x:c r="B3" s="2"/>
      <x:c r="C3" s="2"/>
      <x:c r="D3" s="2"/>
      <x:c r="E3" s="2"/>
      <x:c r="F3" s="2"/>
      <x:c r="G3" s="2"/>
      <x:c r="H3" s="2"/>
      <x:c r="I3" s="2"/>
      <x:c r="J3" s="2"/>
      <x:c r="K3" s="2"/>
      <x:c r="L3" s="2"/>
      <x:c r="M3" s="2"/>
      <x:c r="N3" s="2"/>
    </x:row>
    <x:row r="4" ht="34" customHeight="1">
      <x:c r="A4" s="35" t="str">
        <x:v>Due Diligence ID</x:v>
      </x:c>
      <x:c r="B4" s="193" t="str"/>
      <x:c r="C4" s="35" t="str">
        <x:v>Technology Risk ID</x:v>
      </x:c>
      <x:c r="D4" s="193" t="str"/>
      <x:c r="E4" s="35" t="str">
        <x:v>Vendor / Product</x:v>
      </x:c>
      <x:c r="F4" s="193" t="str"/>
      <x:c r="G4" s="35" t="str">
        <x:v>Reviewer</x:v>
      </x:c>
      <x:c r="H4" s="193" t="str"/>
      <x:c r="I4" s="35" t="str">
        <x:v>Review Date</x:v>
      </x:c>
      <x:c r="J4" s="194" t="str"/>
      <x:c r="K4" s="35" t="str">
        <x:v>Overall Recommendation</x:v>
      </x:c>
      <x:c r="L4" s="44" t="str"/>
      <x:c r="M4" s="45" t="str"/>
      <x:c r="N4" s="46" t="str"/>
    </x:row>
    <x:row r="5" ht="34" customHeight="1">
      <x:c r="A5" s="35" t="str">
        <x:v>Evidence Set / Source Folder</x:v>
      </x:c>
      <x:c r="B5" s="193" t="str"/>
      <x:c r="C5" s="35" t="str">
        <x:v>Assessment Type / Tier</x:v>
      </x:c>
      <x:c r="D5" s="193" t="str"/>
      <x:c r="E5" s="35" t="str">
        <x:v>Hosting Model</x:v>
      </x:c>
      <x:c r="F5" s="193" t="str"/>
      <x:c r="G5" s="35" t="str">
        <x:v>Data Classification</x:v>
      </x:c>
      <x:c r="H5" s="193" t="str"/>
      <x:c r="I5" s="35" t="str">
        <x:v>Business Owner</x:v>
      </x:c>
      <x:c r="J5" s="193" t="str"/>
      <x:c r="K5" s="35" t="str">
        <x:v>Assessment Status</x:v>
      </x:c>
      <x:c r="L5" s="44" t="str"/>
      <x:c r="M5" s="45" t="str"/>
      <x:c r="N5" s="46" t="str"/>
    </x:row>
    <x:row r="6">
      <x:c r="A6" s="2"/>
      <x:c r="B6" s="2"/>
      <x:c r="C6" s="2"/>
      <x:c r="D6" s="2"/>
      <x:c r="E6" s="2"/>
      <x:c r="F6" s="2"/>
      <x:c r="G6" s="2"/>
      <x:c r="H6" s="2"/>
      <x:c r="I6" s="2"/>
      <x:c r="J6" s="2"/>
      <x:c r="K6" s="2"/>
      <x:c r="L6" s="2"/>
      <x:c r="M6" s="2"/>
      <x:c r="N6" s="2"/>
    </x:row>
    <x:row r="7">
      <x:c r="A7" s="93" t="str">
        <x:v>DD ID</x:v>
      </x:c>
      <x:c r="B7" s="93" t="str">
        <x:v>Category</x:v>
      </x:c>
      <x:c r="C7" s="93" t="str">
        <x:v>Evidence Request / Question</x:v>
      </x:c>
      <x:c r="D7" s="93" t="str">
        <x:v>Expected Evidence</x:v>
      </x:c>
      <x:c r="E7" s="93" t="str">
        <x:v>Applicability</x:v>
      </x:c>
      <x:c r="F7" s="93" t="str">
        <x:v>Applicability Rationale</x:v>
      </x:c>
      <x:c r="G7" s="93" t="str">
        <x:v>Response / Finding</x:v>
      </x:c>
      <x:c r="H7" s="93" t="str">
        <x:v>Evidence Status</x:v>
      </x:c>
      <x:c r="I7" s="93" t="str">
        <x:v>Source / Reference</x:v>
      </x:c>
      <x:c r="J7" s="93" t="str">
        <x:v>Evidence Confidence</x:v>
      </x:c>
      <x:c r="K7" s="93" t="str">
        <x:v>Policy / Contract Impact</x:v>
      </x:c>
      <x:c r="L7" s="93" t="str">
        <x:v>Related Architecture Risk IDs</x:v>
      </x:c>
      <x:c r="M7" s="93" t="str">
        <x:v>Reviewer</x:v>
      </x:c>
      <x:c r="N7" s="93" t="str">
        <x:v>Review Date</x:v>
      </x:c>
    </x:row>
    <x:row r="8" ht="68" customHeight="1">
      <x:c r="A8" s="97" t="str">
        <x:v>DD-001</x:v>
      </x:c>
      <x:c r="B8" s="97" t="str">
        <x:v>Engagement &amp; Scope</x:v>
      </x:c>
      <x:c r="C8" s="97" t="str">
        <x:v>Identify the contracting entity, product/service, exact assessed release, business capability and accountable sponsor.</x:v>
      </x:c>
      <x:c r="D8" s="97" t="str">
        <x:v>Intake, contract/SOW, product and version evidence</x:v>
      </x:c>
      <x:c r="E8" s="98" t="str"/>
      <x:c r="F8" s="98" t="str"/>
      <x:c r="G8" s="98" t="str"/>
      <x:c r="H8" s="98" t="str">
        <x:v>Not Requested</x:v>
      </x:c>
      <x:c r="I8" s="98" t="str"/>
      <x:c r="J8" s="98" t="str">
        <x:v>Not Assessed</x:v>
      </x:c>
      <x:c r="K8" s="98" t="str"/>
      <x:c r="L8" s="98" t="str"/>
      <x:c r="M8" s="98" t="str"/>
      <x:c r="N8" s="190" t="str"/>
    </x:row>
    <x:row r="9" ht="68" customHeight="1">
      <x:c r="A9" s="72" t="str">
        <x:v>DD-002</x:v>
      </x:c>
      <x:c r="B9" s="72" t="str">
        <x:v>Engagement &amp; Scope</x:v>
      </x:c>
      <x:c r="C9" s="72" t="str">
        <x:v>Is this a new vendor/product, renewal, expansion or materially changed use?</x:v>
      </x:c>
      <x:c r="D9" s="72" t="str">
        <x:v>TPRM history, prior approvals and change comparison</x:v>
      </x:c>
      <x:c r="E9" s="179" t="str"/>
      <x:c r="F9" s="179" t="str"/>
      <x:c r="G9" s="179" t="str"/>
      <x:c r="H9" s="179" t="str">
        <x:v>Not Requested</x:v>
      </x:c>
      <x:c r="I9" s="179" t="str"/>
      <x:c r="J9" s="179" t="str">
        <x:v>Not Assessed</x:v>
      </x:c>
      <x:c r="K9" s="179" t="str"/>
      <x:c r="L9" s="179" t="str"/>
      <x:c r="M9" s="179" t="str"/>
      <x:c r="N9" s="191" t="str"/>
    </x:row>
    <x:row r="10" ht="68" customHeight="1">
      <x:c r="A10" s="180" t="str">
        <x:v>DD-003</x:v>
      </x:c>
      <x:c r="B10" s="180" t="str">
        <x:v>Engagement &amp; Scope</x:v>
      </x:c>
      <x:c r="C10" s="180" t="str">
        <x:v>Which facilities, regions, user populations, environments and workflows are in scope?</x:v>
      </x:c>
      <x:c r="D10" s="180" t="str">
        <x:v>Scope statement, facility/environment inventory and workflow</x:v>
      </x:c>
      <x:c r="E10" s="179" t="str"/>
      <x:c r="F10" s="179" t="str"/>
      <x:c r="G10" s="179" t="str"/>
      <x:c r="H10" s="179" t="str">
        <x:v>Not Requested</x:v>
      </x:c>
      <x:c r="I10" s="179" t="str"/>
      <x:c r="J10" s="179" t="str">
        <x:v>Not Assessed</x:v>
      </x:c>
      <x:c r="K10" s="179" t="str"/>
      <x:c r="L10" s="179" t="str"/>
      <x:c r="M10" s="179" t="str"/>
      <x:c r="N10" s="191" t="str"/>
    </x:row>
    <x:row r="11" ht="68" customHeight="1">
      <x:c r="A11" s="72" t="str">
        <x:v>DD-004</x:v>
      </x:c>
      <x:c r="B11" s="72" t="str">
        <x:v>Engagement &amp; Scope</x:v>
      </x:c>
      <x:c r="C11" s="72" t="str">
        <x:v>Which vendor affiliates, subprocessors and fourth parties participate?</x:v>
      </x:c>
      <x:c r="D11" s="72" t="str">
        <x:v>Subprocessor list, responsibility map and notification terms</x:v>
      </x:c>
      <x:c r="E11" s="179" t="str"/>
      <x:c r="F11" s="179" t="str"/>
      <x:c r="G11" s="179" t="str"/>
      <x:c r="H11" s="179" t="str">
        <x:v>Not Requested</x:v>
      </x:c>
      <x:c r="I11" s="179" t="str"/>
      <x:c r="J11" s="179" t="str">
        <x:v>Not Assessed</x:v>
      </x:c>
      <x:c r="K11" s="179" t="str"/>
      <x:c r="L11" s="179" t="str"/>
      <x:c r="M11" s="179" t="str"/>
      <x:c r="N11" s="191" t="str"/>
    </x:row>
    <x:row r="12" ht="68" customHeight="1">
      <x:c r="A12" s="180" t="str">
        <x:v>DD-005</x:v>
      </x:c>
      <x:c r="B12" s="180" t="str">
        <x:v>Data &amp; Privacy</x:v>
      </x:c>
      <x:c r="C12" s="180" t="str">
        <x:v>What PHI, PII, PCI, employee, research, device or other sensitive data is collected, viewed, stored, transmitted or derived?</x:v>
      </x:c>
      <x:c r="D12" s="180" t="str">
        <x:v>Field-level inventory, classification and data flow</x:v>
      </x:c>
      <x:c r="E12" s="179" t="str"/>
      <x:c r="F12" s="179" t="str"/>
      <x:c r="G12" s="179" t="str"/>
      <x:c r="H12" s="179" t="str">
        <x:v>Not Requested</x:v>
      </x:c>
      <x:c r="I12" s="179" t="str"/>
      <x:c r="J12" s="179" t="str">
        <x:v>Not Assessed</x:v>
      </x:c>
      <x:c r="K12" s="179" t="str"/>
      <x:c r="L12" s="179" t="str"/>
      <x:c r="M12" s="179" t="str"/>
      <x:c r="N12" s="191" t="str"/>
    </x:row>
    <x:row r="13" ht="68" customHeight="1">
      <x:c r="A13" s="72" t="str">
        <x:v>DD-006</x:v>
      </x:c>
      <x:c r="B13" s="72" t="str">
        <x:v>Data &amp; Privacy</x:v>
      </x:c>
      <x:c r="C13" s="72" t="str">
        <x:v>Is collection and use limited to the minimum necessary purpose?</x:v>
      </x:c>
      <x:c r="D13" s="72" t="str">
        <x:v>Purpose mapping, privacy assessment and configuration</x:v>
      </x:c>
      <x:c r="E13" s="179" t="str"/>
      <x:c r="F13" s="179" t="str"/>
      <x:c r="G13" s="179" t="str"/>
      <x:c r="H13" s="179" t="str">
        <x:v>Not Requested</x:v>
      </x:c>
      <x:c r="I13" s="179" t="str"/>
      <x:c r="J13" s="179" t="str">
        <x:v>Not Assessed</x:v>
      </x:c>
      <x:c r="K13" s="179" t="str"/>
      <x:c r="L13" s="179" t="str"/>
      <x:c r="M13" s="179" t="str"/>
      <x:c r="N13" s="191" t="str"/>
    </x:row>
    <x:row r="14" ht="68" customHeight="1">
      <x:c r="A14" s="180" t="str">
        <x:v>DD-007</x:v>
      </x:c>
      <x:c r="B14" s="180" t="str">
        <x:v>Data &amp; Privacy</x:v>
      </x:c>
      <x:c r="C14" s="180" t="str">
        <x:v>Where is data processed, stored, backed up and accessed, including support/DR locations?</x:v>
      </x:c>
      <x:c r="D14" s="180" t="str">
        <x:v>Residency statement, locations and architecture</x:v>
      </x:c>
      <x:c r="E14" s="179" t="str"/>
      <x:c r="F14" s="179" t="str"/>
      <x:c r="G14" s="179" t="str"/>
      <x:c r="H14" s="179" t="str">
        <x:v>Not Requested</x:v>
      </x:c>
      <x:c r="I14" s="179" t="str"/>
      <x:c r="J14" s="179" t="str">
        <x:v>Not Assessed</x:v>
      </x:c>
      <x:c r="K14" s="179" t="str"/>
      <x:c r="L14" s="179" t="str"/>
      <x:c r="M14" s="179" t="str"/>
      <x:c r="N14" s="191" t="str"/>
    </x:row>
    <x:row r="15" ht="68" customHeight="1">
      <x:c r="A15" s="72" t="str">
        <x:v>DD-008</x:v>
      </x:c>
      <x:c r="B15" s="72" t="str">
        <x:v>Data &amp; Privacy</x:v>
      </x:c>
      <x:c r="C15" s="72" t="str">
        <x:v>What retention, deletion, legal-hold and deletion-verification rules apply to all copies?</x:v>
      </x:c>
      <x:c r="D15" s="72" t="str">
        <x:v>Retention schedule, procedure and destruction evidence</x:v>
      </x:c>
      <x:c r="E15" s="179" t="str"/>
      <x:c r="F15" s="179" t="str"/>
      <x:c r="G15" s="179" t="str"/>
      <x:c r="H15" s="179" t="str">
        <x:v>Not Requested</x:v>
      </x:c>
      <x:c r="I15" s="179" t="str"/>
      <x:c r="J15" s="179" t="str">
        <x:v>Not Assessed</x:v>
      </x:c>
      <x:c r="K15" s="179" t="str"/>
      <x:c r="L15" s="179" t="str"/>
      <x:c r="M15" s="179" t="str"/>
      <x:c r="N15" s="191" t="str"/>
    </x:row>
    <x:row r="16" ht="68" customHeight="1">
      <x:c r="A16" s="180" t="str">
        <x:v>DD-009</x:v>
      </x:c>
      <x:c r="B16" s="180" t="str">
        <x:v>Data &amp; Privacy</x:v>
      </x:c>
      <x:c r="C16" s="180" t="str">
        <x:v>Who owns the data, and may it be used for telemetry, analytics, product improvement or another secondary purpose?</x:v>
      </x:c>
      <x:c r="D16" s="180" t="str">
        <x:v>DPA/BAA terms, privacy statement and settings</x:v>
      </x:c>
      <x:c r="E16" s="179" t="str"/>
      <x:c r="F16" s="179" t="str"/>
      <x:c r="G16" s="179" t="str"/>
      <x:c r="H16" s="179" t="str">
        <x:v>Not Requested</x:v>
      </x:c>
      <x:c r="I16" s="179" t="str"/>
      <x:c r="J16" s="179" t="str">
        <x:v>Not Assessed</x:v>
      </x:c>
      <x:c r="K16" s="179" t="str"/>
      <x:c r="L16" s="179" t="str"/>
      <x:c r="M16" s="179" t="str"/>
      <x:c r="N16" s="191" t="str"/>
    </x:row>
    <x:row r="17" ht="68" customHeight="1">
      <x:c r="A17" s="72" t="str">
        <x:v>DD-010</x:v>
      </x:c>
      <x:c r="B17" s="72" t="str">
        <x:v>Identity &amp; Access</x:v>
      </x:c>
      <x:c r="C17" s="72" t="str">
        <x:v>Does the service support the required enterprise federation pattern?</x:v>
      </x:c>
      <x:c r="D17" s="72" t="str">
        <x:v>Configuration guide and tested integration evidence</x:v>
      </x:c>
      <x:c r="E17" s="179" t="str"/>
      <x:c r="F17" s="179" t="str"/>
      <x:c r="G17" s="179" t="str"/>
      <x:c r="H17" s="179" t="str">
        <x:v>Not Requested</x:v>
      </x:c>
      <x:c r="I17" s="179" t="str"/>
      <x:c r="J17" s="179" t="str">
        <x:v>Not Assessed</x:v>
      </x:c>
      <x:c r="K17" s="179" t="str"/>
      <x:c r="L17" s="179" t="str"/>
      <x:c r="M17" s="179" t="str"/>
      <x:c r="N17" s="191" t="str"/>
    </x:row>
    <x:row r="18" ht="68" customHeight="1">
      <x:c r="A18" s="180" t="str">
        <x:v>DD-011</x:v>
      </x:c>
      <x:c r="B18" s="180" t="str">
        <x:v>Identity &amp; Access</x:v>
      </x:c>
      <x:c r="C18" s="180" t="str">
        <x:v>How is MFA enforced for workforce, administrator, emergency and vendor access?</x:v>
      </x:c>
      <x:c r="D18" s="180" t="str">
        <x:v>MFA design, policy mapping and test evidence</x:v>
      </x:c>
      <x:c r="E18" s="179" t="str"/>
      <x:c r="F18" s="179" t="str"/>
      <x:c r="G18" s="179" t="str"/>
      <x:c r="H18" s="179" t="str">
        <x:v>Not Requested</x:v>
      </x:c>
      <x:c r="I18" s="179" t="str"/>
      <x:c r="J18" s="179" t="str">
        <x:v>Not Assessed</x:v>
      </x:c>
      <x:c r="K18" s="179" t="str"/>
      <x:c r="L18" s="179" t="str"/>
      <x:c r="M18" s="179" t="str"/>
      <x:c r="N18" s="191" t="str"/>
    </x:row>
    <x:row r="19" ht="68" customHeight="1">
      <x:c r="A19" s="72" t="str">
        <x:v>DD-012</x:v>
      </x:c>
      <x:c r="B19" s="72" t="str">
        <x:v>Identity &amp; Access</x:v>
      </x:c>
      <x:c r="C19" s="72" t="str">
        <x:v>What roles, privileged functions, service/local accounts and least-privilege controls exist?</x:v>
      </x:c>
      <x:c r="D19" s="72" t="str">
        <x:v>Role matrix, account inventory and privilege model</x:v>
      </x:c>
      <x:c r="E19" s="179" t="str"/>
      <x:c r="F19" s="179" t="str"/>
      <x:c r="G19" s="179" t="str"/>
      <x:c r="H19" s="179" t="str">
        <x:v>Not Requested</x:v>
      </x:c>
      <x:c r="I19" s="179" t="str"/>
      <x:c r="J19" s="179" t="str">
        <x:v>Not Assessed</x:v>
      </x:c>
      <x:c r="K19" s="179" t="str"/>
      <x:c r="L19" s="179" t="str"/>
      <x:c r="M19" s="179" t="str"/>
      <x:c r="N19" s="191" t="str"/>
    </x:row>
    <x:row r="20" ht="68" customHeight="1">
      <x:c r="A20" s="180" t="str">
        <x:v>DD-013</x:v>
      </x:c>
      <x:c r="B20" s="180" t="str">
        <x:v>Identity &amp; Access</x:v>
      </x:c>
      <x:c r="C20" s="180" t="str">
        <x:v>How are JML, approvals, recertification and emergency access governed?</x:v>
      </x:c>
      <x:c r="D20" s="180" t="str">
        <x:v>Lifecycle workflow, approvals and review evidence</x:v>
      </x:c>
      <x:c r="E20" s="179" t="str"/>
      <x:c r="F20" s="179" t="str"/>
      <x:c r="G20" s="179" t="str"/>
      <x:c r="H20" s="179" t="str">
        <x:v>Not Requested</x:v>
      </x:c>
      <x:c r="I20" s="179" t="str"/>
      <x:c r="J20" s="179" t="str">
        <x:v>Not Assessed</x:v>
      </x:c>
      <x:c r="K20" s="179" t="str"/>
      <x:c r="L20" s="179" t="str"/>
      <x:c r="M20" s="179" t="str"/>
      <x:c r="N20" s="191" t="str"/>
    </x:row>
    <x:row r="21" ht="68" customHeight="1">
      <x:c r="A21" s="72" t="str">
        <x:v>DD-014</x:v>
      </x:c>
      <x:c r="B21" s="72" t="str">
        <x:v>Identity &amp; Access</x:v>
      </x:c>
      <x:c r="C21" s="72" t="str">
        <x:v>Is vendor access standing or time-bound, approved, monitored, recorded and revoked?</x:v>
      </x:c>
      <x:c r="D21" s="72" t="str">
        <x:v>Remote-access process, logs, terms and configuration</x:v>
      </x:c>
      <x:c r="E21" s="179" t="str"/>
      <x:c r="F21" s="179" t="str"/>
      <x:c r="G21" s="179" t="str"/>
      <x:c r="H21" s="179" t="str">
        <x:v>Not Requested</x:v>
      </x:c>
      <x:c r="I21" s="179" t="str"/>
      <x:c r="J21" s="179" t="str">
        <x:v>Not Assessed</x:v>
      </x:c>
      <x:c r="K21" s="179" t="str"/>
      <x:c r="L21" s="179" t="str"/>
      <x:c r="M21" s="179" t="str"/>
      <x:c r="N21" s="191" t="str"/>
    </x:row>
    <x:row r="22" ht="68" customHeight="1">
      <x:c r="A22" s="180" t="str">
        <x:v>DD-015</x:v>
      </x:c>
      <x:c r="B22" s="180" t="str">
        <x:v>Security Controls</x:v>
      </x:c>
      <x:c r="C22" s="180" t="str">
        <x:v>How are data and credentials encrypted in transit and at rest, including protocols, keys and certificate trust?</x:v>
      </x:c>
      <x:c r="D22" s="180" t="str">
        <x:v>Encryption, key management and certificate evidence</x:v>
      </x:c>
      <x:c r="E22" s="179" t="str"/>
      <x:c r="F22" s="179" t="str"/>
      <x:c r="G22" s="179" t="str"/>
      <x:c r="H22" s="179" t="str">
        <x:v>Not Requested</x:v>
      </x:c>
      <x:c r="I22" s="179" t="str"/>
      <x:c r="J22" s="179" t="str">
        <x:v>Not Assessed</x:v>
      </x:c>
      <x:c r="K22" s="179" t="str"/>
      <x:c r="L22" s="179" t="str"/>
      <x:c r="M22" s="179" t="str"/>
      <x:c r="N22" s="191" t="str"/>
    </x:row>
    <x:row r="23" ht="68" customHeight="1">
      <x:c r="A23" s="72" t="str">
        <x:v>DD-016</x:v>
      </x:c>
      <x:c r="B23" s="72" t="str">
        <x:v>Security Controls</x:v>
      </x:c>
      <x:c r="C23" s="72" t="str">
        <x:v>Which events are logged, retained and available for centralized monitoring?</x:v>
      </x:c>
      <x:c r="D23" s="72" t="str">
        <x:v>Event catalog, samples, retention and SIEM evidence</x:v>
      </x:c>
      <x:c r="E23" s="179" t="str"/>
      <x:c r="F23" s="179" t="str"/>
      <x:c r="G23" s="179" t="str"/>
      <x:c r="H23" s="179" t="str">
        <x:v>Not Requested</x:v>
      </x:c>
      <x:c r="I23" s="179" t="str"/>
      <x:c r="J23" s="179" t="str">
        <x:v>Not Assessed</x:v>
      </x:c>
      <x:c r="K23" s="179" t="str"/>
      <x:c r="L23" s="179" t="str"/>
      <x:c r="M23" s="179" t="str"/>
      <x:c r="N23" s="191" t="str"/>
    </x:row>
    <x:row r="24" ht="68" customHeight="1">
      <x:c r="A24" s="180" t="str">
        <x:v>DD-017</x:v>
      </x:c>
      <x:c r="B24" s="180" t="str">
        <x:v>Security Controls</x:v>
      </x:c>
      <x:c r="C24" s="180" t="str">
        <x:v>What vulnerability, patch, penetration-test and remediation commitments apply to delivered components?</x:v>
      </x:c>
      <x:c r="D24" s="180" t="str">
        <x:v>Policies, reports, SLAs and patch procedure</x:v>
      </x:c>
      <x:c r="E24" s="179" t="str"/>
      <x:c r="F24" s="179" t="str"/>
      <x:c r="G24" s="179" t="str"/>
      <x:c r="H24" s="179" t="str">
        <x:v>Not Requested</x:v>
      </x:c>
      <x:c r="I24" s="179" t="str"/>
      <x:c r="J24" s="179" t="str">
        <x:v>Not Assessed</x:v>
      </x:c>
      <x:c r="K24" s="179" t="str"/>
      <x:c r="L24" s="179" t="str"/>
      <x:c r="M24" s="179" t="str"/>
      <x:c r="N24" s="191" t="str"/>
    </x:row>
    <x:row r="25" ht="68" customHeight="1">
      <x:c r="A25" s="72" t="str">
        <x:v>DD-018</x:v>
      </x:c>
      <x:c r="B25" s="72" t="str">
        <x:v>Security Controls</x:v>
      </x:c>
      <x:c r="C25" s="72" t="str">
        <x:v>What secure-development and software-supply-chain evidence is available?</x:v>
      </x:c>
      <x:c r="D25" s="72" t="str">
        <x:v>Secure SDLC, SBOM, signing and dependency process</x:v>
      </x:c>
      <x:c r="E25" s="179" t="str"/>
      <x:c r="F25" s="179" t="str"/>
      <x:c r="G25" s="179" t="str"/>
      <x:c r="H25" s="179" t="str">
        <x:v>Not Requested</x:v>
      </x:c>
      <x:c r="I25" s="179" t="str"/>
      <x:c r="J25" s="179" t="str">
        <x:v>Not Assessed</x:v>
      </x:c>
      <x:c r="K25" s="179" t="str"/>
      <x:c r="L25" s="179" t="str"/>
      <x:c r="M25" s="179" t="str"/>
      <x:c r="N25" s="191" t="str"/>
    </x:row>
    <x:row r="26" ht="68" customHeight="1">
      <x:c r="A26" s="180" t="str">
        <x:v>DD-019</x:v>
      </x:c>
      <x:c r="B26" s="180" t="str">
        <x:v>Security Controls</x:v>
      </x:c>
      <x:c r="C26" s="180" t="str">
        <x:v>What incident, breach-notification, evidence and communication commitments apply?</x:v>
      </x:c>
      <x:c r="D26" s="180" t="str">
        <x:v>Incident plan, clauses, exercise and contacts</x:v>
      </x:c>
      <x:c r="E26" s="179" t="str"/>
      <x:c r="F26" s="179" t="str"/>
      <x:c r="G26" s="179" t="str"/>
      <x:c r="H26" s="179" t="str">
        <x:v>Not Requested</x:v>
      </x:c>
      <x:c r="I26" s="179" t="str"/>
      <x:c r="J26" s="179" t="str">
        <x:v>Not Assessed</x:v>
      </x:c>
      <x:c r="K26" s="179" t="str"/>
      <x:c r="L26" s="179" t="str"/>
      <x:c r="M26" s="179" t="str"/>
      <x:c r="N26" s="191" t="str"/>
    </x:row>
    <x:row r="27" ht="68" customHeight="1">
      <x:c r="A27" s="72" t="str">
        <x:v>DD-020</x:v>
      </x:c>
      <x:c r="B27" s="72" t="str">
        <x:v>Resilience Commitments</x:v>
      </x:c>
      <x:c r="C27" s="72" t="str">
        <x:v>What availability SLA and maintenance/service-credit commitments are supported?</x:v>
      </x:c>
      <x:c r="D27" s="72" t="str">
        <x:v>SLA, maintenance policy, history and terms</x:v>
      </x:c>
      <x:c r="E27" s="179" t="str"/>
      <x:c r="F27" s="179" t="str"/>
      <x:c r="G27" s="179" t="str"/>
      <x:c r="H27" s="179" t="str">
        <x:v>Not Requested</x:v>
      </x:c>
      <x:c r="I27" s="179" t="str"/>
      <x:c r="J27" s="179" t="str">
        <x:v>Not Assessed</x:v>
      </x:c>
      <x:c r="K27" s="179" t="str"/>
      <x:c r="L27" s="179" t="str"/>
      <x:c r="M27" s="179" t="str"/>
      <x:c r="N27" s="191" t="str"/>
    </x:row>
    <x:row r="28" ht="68" customHeight="1">
      <x:c r="A28" s="180" t="str">
        <x:v>DD-021</x:v>
      </x:c>
      <x:c r="B28" s="180" t="str">
        <x:v>Resilience Commitments</x:v>
      </x:c>
      <x:c r="C28" s="180" t="str">
        <x:v>What is backed up, how is it protected, and when was restore last proven?</x:v>
      </x:c>
      <x:c r="D28" s="180" t="str">
        <x:v>Backup design and restore-test report</x:v>
      </x:c>
      <x:c r="E28" s="179" t="str"/>
      <x:c r="F28" s="179" t="str"/>
      <x:c r="G28" s="179" t="str"/>
      <x:c r="H28" s="179" t="str">
        <x:v>Not Requested</x:v>
      </x:c>
      <x:c r="I28" s="179" t="str"/>
      <x:c r="J28" s="179" t="str">
        <x:v>Not Assessed</x:v>
      </x:c>
      <x:c r="K28" s="179" t="str"/>
      <x:c r="L28" s="179" t="str"/>
      <x:c r="M28" s="179" t="str"/>
      <x:c r="N28" s="191" t="str"/>
    </x:row>
    <x:row r="29" ht="68" customHeight="1">
      <x:c r="A29" s="72" t="str">
        <x:v>DD-022</x:v>
      </x:c>
      <x:c r="B29" s="72" t="str">
        <x:v>Resilience Commitments</x:v>
      </x:c>
      <x:c r="C29" s="72" t="str">
        <x:v>What RPO/RTO are committed, and when was DR last exercised?</x:v>
      </x:c>
      <x:c r="D29" s="72" t="str">
        <x:v>Contract/SLA, DR plan, topology and exercise</x:v>
      </x:c>
      <x:c r="E29" s="179" t="str"/>
      <x:c r="F29" s="179" t="str"/>
      <x:c r="G29" s="179" t="str"/>
      <x:c r="H29" s="179" t="str">
        <x:v>Not Requested</x:v>
      </x:c>
      <x:c r="I29" s="179" t="str"/>
      <x:c r="J29" s="179" t="str">
        <x:v>Not Assessed</x:v>
      </x:c>
      <x:c r="K29" s="179" t="str"/>
      <x:c r="L29" s="179" t="str"/>
      <x:c r="M29" s="179" t="str"/>
      <x:c r="N29" s="191" t="str"/>
    </x:row>
    <x:row r="30" ht="68" customHeight="1">
      <x:c r="A30" s="180" t="str">
        <x:v>DD-023</x:v>
      </x:c>
      <x:c r="B30" s="180" t="str">
        <x:v>Resilience Commitments</x:v>
      </x:c>
      <x:c r="C30" s="180" t="str">
        <x:v>How will vendor and internal teams support and communicate extended degradation?</x:v>
      </x:c>
      <x:c r="D30" s="180" t="str">
        <x:v>Continuity plan, severity matrix and contacts</x:v>
      </x:c>
      <x:c r="E30" s="179" t="str"/>
      <x:c r="F30" s="179" t="str"/>
      <x:c r="G30" s="179" t="str"/>
      <x:c r="H30" s="179" t="str">
        <x:v>Not Requested</x:v>
      </x:c>
      <x:c r="I30" s="179" t="str"/>
      <x:c r="J30" s="179" t="str">
        <x:v>Not Assessed</x:v>
      </x:c>
      <x:c r="K30" s="179" t="str"/>
      <x:c r="L30" s="179" t="str"/>
      <x:c r="M30" s="179" t="str"/>
      <x:c r="N30" s="191" t="str"/>
    </x:row>
    <x:row r="31" ht="68" customHeight="1">
      <x:c r="A31" s="72" t="str">
        <x:v>DD-024</x:v>
      </x:c>
      <x:c r="B31" s="72" t="str">
        <x:v>Assurance &amp; Compliance</x:v>
      </x:c>
      <x:c r="C31" s="72" t="str">
        <x:v>Which BAA, DPA, regulatory, records, accessibility and other obligations apply?</x:v>
      </x:c>
      <x:c r="D31" s="72" t="str">
        <x:v>Executed agreements and obligation mapping</x:v>
      </x:c>
      <x:c r="E31" s="179" t="str"/>
      <x:c r="F31" s="179" t="str"/>
      <x:c r="G31" s="179" t="str"/>
      <x:c r="H31" s="179" t="str">
        <x:v>Not Requested</x:v>
      </x:c>
      <x:c r="I31" s="179" t="str"/>
      <x:c r="J31" s="179" t="str">
        <x:v>Not Assessed</x:v>
      </x:c>
      <x:c r="K31" s="179" t="str"/>
      <x:c r="L31" s="179" t="str"/>
      <x:c r="M31" s="179" t="str"/>
      <x:c r="N31" s="191" t="str"/>
    </x:row>
    <x:row r="32" ht="68" customHeight="1">
      <x:c r="A32" s="180" t="str">
        <x:v>DD-025</x:v>
      </x:c>
      <x:c r="B32" s="180" t="str">
        <x:v>Assurance &amp; Compliance</x:v>
      </x:c>
      <x:c r="C32" s="180" t="str">
        <x:v>Which independent assurance reports/certifications are current and in scope?</x:v>
      </x:c>
      <x:c r="D32" s="180" t="str">
        <x:v>SOC/ISO/HITRUST evidence, scope, dates and exceptions</x:v>
      </x:c>
      <x:c r="E32" s="179" t="str"/>
      <x:c r="F32" s="179" t="str"/>
      <x:c r="G32" s="179" t="str"/>
      <x:c r="H32" s="179" t="str">
        <x:v>Not Requested</x:v>
      </x:c>
      <x:c r="I32" s="179" t="str"/>
      <x:c r="J32" s="179" t="str">
        <x:v>Not Assessed</x:v>
      </x:c>
      <x:c r="K32" s="179" t="str"/>
      <x:c r="L32" s="179" t="str"/>
      <x:c r="M32" s="179" t="str"/>
      <x:c r="N32" s="191" t="str"/>
    </x:row>
    <x:row r="33" ht="68" customHeight="1">
      <x:c r="A33" s="72" t="str">
        <x:v>DD-026</x:v>
      </x:c>
      <x:c r="B33" s="72" t="str">
        <x:v>Assurance &amp; Compliance</x:v>
      </x:c>
      <x:c r="C33" s="72" t="str">
        <x:v>Which policy requirements are unmet, and what exception/compensating-control path is required?</x:v>
      </x:c>
      <x:c r="D33" s="72" t="str">
        <x:v>Policy IDs, reviewer finding and exception evidence</x:v>
      </x:c>
      <x:c r="E33" s="179" t="str"/>
      <x:c r="F33" s="179" t="str"/>
      <x:c r="G33" s="179" t="str"/>
      <x:c r="H33" s="179" t="str">
        <x:v>Not Requested</x:v>
      </x:c>
      <x:c r="I33" s="179" t="str"/>
      <x:c r="J33" s="179" t="str">
        <x:v>Not Assessed</x:v>
      </x:c>
      <x:c r="K33" s="179" t="str"/>
      <x:c r="L33" s="179" t="str"/>
      <x:c r="M33" s="179" t="str"/>
      <x:c r="N33" s="191" t="str"/>
    </x:row>
    <x:row r="34" ht="68" customHeight="1">
      <x:c r="A34" s="180" t="str">
        <x:v>DD-027</x:v>
      </x:c>
      <x:c r="B34" s="180" t="str">
        <x:v>Contract &amp; Vendor</x:v>
      </x:c>
      <x:c r="C34" s="180" t="str">
        <x:v>What support hours, response/resolution targets and escalation paths apply?</x:v>
      </x:c>
      <x:c r="D34" s="180" t="str">
        <x:v>Support entitlement, severity matrix and contacts</x:v>
      </x:c>
      <x:c r="E34" s="179" t="str"/>
      <x:c r="F34" s="179" t="str"/>
      <x:c r="G34" s="179" t="str"/>
      <x:c r="H34" s="179" t="str">
        <x:v>Not Requested</x:v>
      </x:c>
      <x:c r="I34" s="179" t="str"/>
      <x:c r="J34" s="179" t="str">
        <x:v>Not Assessed</x:v>
      </x:c>
      <x:c r="K34" s="179" t="str"/>
      <x:c r="L34" s="179" t="str"/>
      <x:c r="M34" s="179" t="str"/>
      <x:c r="N34" s="191" t="str"/>
    </x:row>
    <x:row r="35" ht="68" customHeight="1">
      <x:c r="A35" s="72" t="str">
        <x:v>DD-028</x:v>
      </x:c>
      <x:c r="B35" s="72" t="str">
        <x:v>Contract &amp; Vendor</x:v>
      </x:c>
      <x:c r="C35" s="72" t="str">
        <x:v>Are audit, security, incident, roadmap and remediation commitments enforceable?</x:v>
      </x:c>
      <x:c r="D35" s="72" t="str">
        <x:v>Executed amendments, SOW and security addendum</x:v>
      </x:c>
      <x:c r="E35" s="179" t="str"/>
      <x:c r="F35" s="179" t="str"/>
      <x:c r="G35" s="179" t="str"/>
      <x:c r="H35" s="179" t="str">
        <x:v>Not Requested</x:v>
      </x:c>
      <x:c r="I35" s="179" t="str"/>
      <x:c r="J35" s="179" t="str">
        <x:v>Not Assessed</x:v>
      </x:c>
      <x:c r="K35" s="179" t="str"/>
      <x:c r="L35" s="179" t="str"/>
      <x:c r="M35" s="179" t="str"/>
      <x:c r="N35" s="191" t="str"/>
    </x:row>
    <x:row r="36" ht="68" customHeight="1">
      <x:c r="A36" s="180" t="str">
        <x:v>DD-029</x:v>
      </x:c>
      <x:c r="B36" s="180" t="str">
        <x:v>Contract &amp; Vendor</x:v>
      </x:c>
      <x:c r="C36" s="180" t="str">
        <x:v>Which capabilities exist now versus roadmap, and are dates binding?</x:v>
      </x:c>
      <x:c r="D36" s="180" t="str">
        <x:v>Current evidence, release notes and commitment</x:v>
      </x:c>
      <x:c r="E36" s="179" t="str"/>
      <x:c r="F36" s="179" t="str"/>
      <x:c r="G36" s="179" t="str"/>
      <x:c r="H36" s="179" t="str">
        <x:v>Not Requested</x:v>
      </x:c>
      <x:c r="I36" s="179" t="str"/>
      <x:c r="J36" s="179" t="str">
        <x:v>Not Assessed</x:v>
      </x:c>
      <x:c r="K36" s="179" t="str"/>
      <x:c r="L36" s="179" t="str"/>
      <x:c r="M36" s="179" t="str"/>
      <x:c r="N36" s="191" t="str"/>
    </x:row>
    <x:row r="37" ht="68" customHeight="1">
      <x:c r="A37" s="72" t="str">
        <x:v>DD-030</x:v>
      </x:c>
      <x:c r="B37" s="72" t="str">
        <x:v>Contract &amp; Vendor</x:v>
      </x:c>
      <x:c r="C37" s="72" t="str">
        <x:v>What exit, data return, transition and destruction obligations apply?</x:v>
      </x:c>
      <x:c r="D37" s="72" t="str">
        <x:v>Exit terms, export spec and destruction terms</x:v>
      </x:c>
      <x:c r="E37" s="179" t="str"/>
      <x:c r="F37" s="179" t="str"/>
      <x:c r="G37" s="179" t="str"/>
      <x:c r="H37" s="179" t="str">
        <x:v>Not Requested</x:v>
      </x:c>
      <x:c r="I37" s="179" t="str"/>
      <x:c r="J37" s="179" t="str">
        <x:v>Not Assessed</x:v>
      </x:c>
      <x:c r="K37" s="179" t="str"/>
      <x:c r="L37" s="179" t="str"/>
      <x:c r="M37" s="179" t="str"/>
      <x:c r="N37" s="191" t="str"/>
    </x:row>
    <x:row r="38" ht="68" customHeight="1">
      <x:c r="A38" s="180" t="str">
        <x:v>DD-031</x:v>
      </x:c>
      <x:c r="B38" s="180" t="str">
        <x:v>AI &amp; Data Use</x:v>
      </x:c>
      <x:c r="C38" s="180" t="str">
        <x:v>Does the solution use AI/ML, external model services or automated decisioning?</x:v>
      </x:c>
      <x:c r="D38" s="180" t="str">
        <x:v>AI inventory and architecture/data flow</x:v>
      </x:c>
      <x:c r="E38" s="179" t="str"/>
      <x:c r="F38" s="179" t="str"/>
      <x:c r="G38" s="179" t="str"/>
      <x:c r="H38" s="179" t="str">
        <x:v>Not Requested</x:v>
      </x:c>
      <x:c r="I38" s="179" t="str"/>
      <x:c r="J38" s="179" t="str">
        <x:v>Not Assessed</x:v>
      </x:c>
      <x:c r="K38" s="179" t="str"/>
      <x:c r="L38" s="179" t="str"/>
      <x:c r="M38" s="179" t="str"/>
      <x:c r="N38" s="191" t="str"/>
    </x:row>
    <x:row r="39" ht="68" customHeight="1">
      <x:c r="A39" s="72" t="str">
        <x:v>DD-032</x:v>
      </x:c>
      <x:c r="B39" s="72" t="str">
        <x:v>AI &amp; Data Use</x:v>
      </x:c>
      <x:c r="C39" s="72" t="str">
        <x:v>Can customer data, prompts, outputs or telemetry train/improve models?</x:v>
      </x:c>
      <x:c r="D39" s="72" t="str">
        <x:v>Contract, privacy statement, settings and subprocessors</x:v>
      </x:c>
      <x:c r="E39" s="179" t="str"/>
      <x:c r="F39" s="179" t="str"/>
      <x:c r="G39" s="179" t="str"/>
      <x:c r="H39" s="179" t="str">
        <x:v>Not Requested</x:v>
      </x:c>
      <x:c r="I39" s="179" t="str"/>
      <x:c r="J39" s="179" t="str">
        <x:v>Not Assessed</x:v>
      </x:c>
      <x:c r="K39" s="179" t="str"/>
      <x:c r="L39" s="179" t="str"/>
      <x:c r="M39" s="179" t="str"/>
      <x:c r="N39" s="191" t="str"/>
    </x:row>
    <x:row r="40" ht="68" customHeight="1">
      <x:c r="A40" s="180" t="str">
        <x:v>DD-033</x:v>
      </x:c>
      <x:c r="B40" s="180" t="str">
        <x:v>AI &amp; Data Use</x:v>
      </x:c>
      <x:c r="C40" s="180" t="str">
        <x:v>What oversight, validation, monitoring and fallback controls govern material AI output?</x:v>
      </x:c>
      <x:c r="D40" s="180" t="str">
        <x:v>Governance, validation, monitoring and procedure</x:v>
      </x:c>
      <x:c r="E40" s="179" t="str"/>
      <x:c r="F40" s="179" t="str"/>
      <x:c r="G40" s="179" t="str"/>
      <x:c r="H40" s="179" t="str">
        <x:v>Not Requested</x:v>
      </x:c>
      <x:c r="I40" s="179" t="str"/>
      <x:c r="J40" s="179" t="str">
        <x:v>Not Assessed</x:v>
      </x:c>
      <x:c r="K40" s="179" t="str"/>
      <x:c r="L40" s="179" t="str"/>
      <x:c r="M40" s="179" t="str"/>
      <x:c r="N40" s="191" t="str"/>
    </x:row>
    <x:row r="41" ht="68" customHeight="1">
      <x:c r="A41" s="72" t="str">
        <x:v>DD-034</x:v>
      </x:c>
      <x:c r="B41" s="72" t="str">
        <x:v>Business &amp; Financial</x:v>
      </x:c>
      <x:c r="C41" s="72" t="str">
        <x:v>What are spend, strategic value, criticality, outage tolerance and patient/operational dependency?</x:v>
      </x:c>
      <x:c r="D41" s="72" t="str">
        <x:v>Business case and impact assessment</x:v>
      </x:c>
      <x:c r="E41" s="179" t="str"/>
      <x:c r="F41" s="179" t="str"/>
      <x:c r="G41" s="179" t="str"/>
      <x:c r="H41" s="179" t="str">
        <x:v>Not Requested</x:v>
      </x:c>
      <x:c r="I41" s="179" t="str"/>
      <x:c r="J41" s="179" t="str">
        <x:v>Not Assessed</x:v>
      </x:c>
      <x:c r="K41" s="179" t="str"/>
      <x:c r="L41" s="179" t="str"/>
      <x:c r="M41" s="179" t="str"/>
      <x:c r="N41" s="191" t="str"/>
    </x:row>
    <x:row r="42" ht="68" customHeight="1">
      <x:c r="A42" s="180" t="str">
        <x:v>DD-035</x:v>
      </x:c>
      <x:c r="B42" s="180" t="str">
        <x:v>Business &amp; Financial</x:v>
      </x:c>
      <x:c r="C42" s="180" t="str">
        <x:v>What switching complexity, concentration and alternative-supplier constraints exist?</x:v>
      </x:c>
      <x:c r="D42" s="180" t="str">
        <x:v>Market/contract analysis and exit estimate</x:v>
      </x:c>
      <x:c r="E42" s="179" t="str"/>
      <x:c r="F42" s="179" t="str"/>
      <x:c r="G42" s="179" t="str"/>
      <x:c r="H42" s="179" t="str">
        <x:v>Not Requested</x:v>
      </x:c>
      <x:c r="I42" s="179" t="str"/>
      <x:c r="J42" s="179" t="str">
        <x:v>Not Assessed</x:v>
      </x:c>
      <x:c r="K42" s="179" t="str"/>
      <x:c r="L42" s="179" t="str"/>
      <x:c r="M42" s="179" t="str"/>
      <x:c r="N42" s="191" t="str"/>
    </x:row>
  </x:sheetData>
  <x:mergeCells>
    <x:mergeCell ref="A1:N1"/>
    <x:mergeCell ref="A2:N2"/>
    <x:mergeCell ref="L4:N4"/>
    <x:mergeCell ref="L5:N5"/>
  </x:mergeCells>
  <x:conditionalFormatting sqref="E8:E42">
    <x:cfRule type="containsText" dxfId="19" priority="1" operator="containsText" text="Applicable"/>
    <x:cfRule type="containsText" dxfId="20" priority="2" operator="containsText" text="Not Applicable"/>
  </x:conditionalFormatting>
  <x:conditionalFormatting sqref="H8:H42">
    <x:cfRule type="containsText" dxfId="21" priority="3" operator="containsText" text="Verified"/>
    <x:cfRule type="containsText" dxfId="22" priority="4" operator="containsText" text="Insufficient"/>
    <x:cfRule type="containsText" dxfId="23" priority="5" operator="containsText" text="Received"/>
  </x:conditionalFormatting>
  <x:dataValidations count="3">
    <x:dataValidation type="list" sqref="E8:E42">
      <x:formula1>"Applicable,Conditional – verify,Not Applicable"</x:formula1>
    </x:dataValidation>
    <x:dataValidation type="list" sqref="H8:H42">
      <x:formula1>"Not Requested,Requested,Received,Insufficient,Verified,N/A"</x:formula1>
    </x:dataValidation>
    <x:dataValidation type="list" sqref="J8:J42">
      <x:formula1>"Not Assessed,Low,Moderate,High"</x:formula1>
    </x:dataValidation>
  </x:dataValidations>
  <x:pageMargins left="0.7" right="0.7" top="0.75" bottom="0.75" header="0.3" footer="0.3"/>
  <x:tableParts count="1">
    <x:tablePart xmlns:r="http://schemas.openxmlformats.org/officeDocument/2006/relationships" r:id="Rd698aabd29e944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4" hidden="0" customWidth="1"/>
    <x:col min="4" max="4" width="42" hidden="0" customWidth="1"/>
    <x:col min="5" max="5" width="14" hidden="0" customWidth="1"/>
    <x:col min="6" max="6" width="38" hidden="0" customWidth="1"/>
    <x:col min="7" max="7" width="38" hidden="0" customWidth="1"/>
    <x:col min="8" max="8" width="38" hidden="0" customWidth="1"/>
    <x:col min="9" max="9" width="38" hidden="0" customWidth="1"/>
    <x:col min="10" max="10" width="42" hidden="0" customWidth="1"/>
    <x:col min="11" max="11" width="22" hidden="0" customWidth="1"/>
    <x:col min="12" max="12" width="20" hidden="0" customWidth="1"/>
    <x:col min="13" max="13" width="13" hidden="0" customWidth="1"/>
    <x:col min="14" max="14" width="30" hidden="0" customWidth="1"/>
  </x:cols>
  <x:sheetData>
    <x:row r="1" ht="34" customHeight="1">
      <x:c r="A1" s="6" t="str">
        <x:v>Architecture Decision Log</x:v>
      </x:c>
      <x:c r="B1" s="6"/>
      <x:c r="C1" s="6"/>
      <x:c r="D1" s="6"/>
      <x:c r="E1" s="6"/>
      <x:c r="F1" s="6"/>
      <x:c r="G1" s="6"/>
      <x:c r="H1" s="6"/>
      <x:c r="I1" s="6"/>
      <x:c r="J1" s="6"/>
      <x:c r="K1" s="6"/>
      <x:c r="L1" s="6"/>
      <x:c r="M1" s="6"/>
      <x:c r="N1" s="6"/>
    </x:row>
    <x:row r="2" ht="34" customHeight="1">
      <x:c r="A2" s="12" t="str">
        <x:v>Record material options and trade-offs created by the selected architecture lenses. Do not turn an unmade decision into a risk acceptance.</x:v>
      </x:c>
      <x:c r="B2" s="12"/>
      <x:c r="C2" s="12"/>
      <x:c r="D2" s="12"/>
      <x:c r="E2" s="12"/>
      <x:c r="F2" s="12"/>
      <x:c r="G2" s="12"/>
      <x:c r="H2" s="12"/>
      <x:c r="I2" s="12"/>
      <x:c r="J2" s="12"/>
      <x:c r="K2" s="12"/>
      <x:c r="L2" s="12"/>
      <x:c r="M2" s="12"/>
      <x:c r="N2" s="12"/>
    </x:row>
    <x:row r="3">
      <x:c r="A3" s="2"/>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x:c r="A5" s="93" t="str">
        <x:v>ADR ID</x:v>
      </x:c>
      <x:c r="B5" s="93" t="str">
        <x:v>Source Scenario ID</x:v>
      </x:c>
      <x:c r="C5" s="93" t="str">
        <x:v>Architecture Lens</x:v>
      </x:c>
      <x:c r="D5" s="93" t="str">
        <x:v>Decision / Question</x:v>
      </x:c>
      <x:c r="E5" s="93" t="str">
        <x:v>Status</x:v>
      </x:c>
      <x:c r="F5" s="93" t="str">
        <x:v>Context &amp; Drivers</x:v>
      </x:c>
      <x:c r="G5" s="93" t="str">
        <x:v>Options Considered</x:v>
      </x:c>
      <x:c r="H5" s="93" t="str">
        <x:v>Chosen Direction</x:v>
      </x:c>
      <x:c r="I5" s="93" t="str">
        <x:v>Rationale</x:v>
      </x:c>
      <x:c r="J5" s="93" t="str">
        <x:v>Consequences / Trade-offs</x:v>
      </x:c>
      <x:c r="K5" s="93" t="str">
        <x:v>Decision Owner</x:v>
      </x:c>
      <x:c r="L5" s="93" t="str">
        <x:v>Approver</x:v>
      </x:c>
      <x:c r="M5" s="93" t="str">
        <x:v>Decision Date</x:v>
      </x:c>
      <x:c r="N5" s="93" t="str">
        <x:v>Related Risk / DD / CMP / EX IDs</x:v>
      </x:c>
    </x:row>
    <x:row r="6" ht="58" customHeight="1">
      <x:c r="A6" s="98" t="str">
        <x:v>ADR-001</x:v>
      </x:c>
      <x:c r="B6" s="98" t="str"/>
      <x:c r="C6" s="98" t="str"/>
      <x:c r="D6" s="98" t="str"/>
      <x:c r="E6" s="98" t="str">
        <x:v>Not Started</x:v>
      </x:c>
      <x:c r="F6" s="98" t="str"/>
      <x:c r="G6" s="98" t="str"/>
      <x:c r="H6" s="98" t="str"/>
      <x:c r="I6" s="98" t="str"/>
      <x:c r="J6" s="98" t="str"/>
      <x:c r="K6" s="98" t="str"/>
      <x:c r="L6" s="98" t="str"/>
      <x:c r="M6" s="190" t="str"/>
      <x:c r="N6" s="98" t="str"/>
    </x:row>
    <x:row r="7" ht="58" customHeight="1">
      <x:c r="A7" s="179" t="str">
        <x:v>ADR-002</x:v>
      </x:c>
      <x:c r="B7" s="179" t="str"/>
      <x:c r="C7" s="179" t="str"/>
      <x:c r="D7" s="179" t="str"/>
      <x:c r="E7" s="179" t="str">
        <x:v>Not Started</x:v>
      </x:c>
      <x:c r="F7" s="179" t="str"/>
      <x:c r="G7" s="179" t="str"/>
      <x:c r="H7" s="179" t="str"/>
      <x:c r="I7" s="179" t="str"/>
      <x:c r="J7" s="179" t="str"/>
      <x:c r="K7" s="179" t="str"/>
      <x:c r="L7" s="179" t="str"/>
      <x:c r="M7" s="191" t="str"/>
      <x:c r="N7" s="179" t="str"/>
    </x:row>
    <x:row r="8" ht="58" customHeight="1">
      <x:c r="A8" s="179" t="str">
        <x:v>ADR-003</x:v>
      </x:c>
      <x:c r="B8" s="179" t="str"/>
      <x:c r="C8" s="179" t="str"/>
      <x:c r="D8" s="179" t="str"/>
      <x:c r="E8" s="179" t="str">
        <x:v>Not Started</x:v>
      </x:c>
      <x:c r="F8" s="179" t="str"/>
      <x:c r="G8" s="179" t="str"/>
      <x:c r="H8" s="179" t="str"/>
      <x:c r="I8" s="179" t="str"/>
      <x:c r="J8" s="179" t="str"/>
      <x:c r="K8" s="179" t="str"/>
      <x:c r="L8" s="179" t="str"/>
      <x:c r="M8" s="191" t="str"/>
      <x:c r="N8" s="179" t="str"/>
    </x:row>
    <x:row r="9" ht="58" customHeight="1">
      <x:c r="A9" s="179" t="str">
        <x:v>ADR-004</x:v>
      </x:c>
      <x:c r="B9" s="179" t="str"/>
      <x:c r="C9" s="179" t="str"/>
      <x:c r="D9" s="179" t="str"/>
      <x:c r="E9" s="179" t="str">
        <x:v>Not Started</x:v>
      </x:c>
      <x:c r="F9" s="179" t="str"/>
      <x:c r="G9" s="179" t="str"/>
      <x:c r="H9" s="179" t="str"/>
      <x:c r="I9" s="179" t="str"/>
      <x:c r="J9" s="179" t="str"/>
      <x:c r="K9" s="179" t="str"/>
      <x:c r="L9" s="179" t="str"/>
      <x:c r="M9" s="191" t="str"/>
      <x:c r="N9" s="179" t="str"/>
    </x:row>
    <x:row r="10" ht="58" customHeight="1">
      <x:c r="A10" s="179" t="str">
        <x:v>ADR-005</x:v>
      </x:c>
      <x:c r="B10" s="179" t="str"/>
      <x:c r="C10" s="179" t="str"/>
      <x:c r="D10" s="179" t="str"/>
      <x:c r="E10" s="179" t="str">
        <x:v>Not Started</x:v>
      </x:c>
      <x:c r="F10" s="179" t="str"/>
      <x:c r="G10" s="179" t="str"/>
      <x:c r="H10" s="179" t="str"/>
      <x:c r="I10" s="179" t="str"/>
      <x:c r="J10" s="179" t="str"/>
      <x:c r="K10" s="179" t="str"/>
      <x:c r="L10" s="179" t="str"/>
      <x:c r="M10" s="191" t="str"/>
      <x:c r="N10" s="179" t="str"/>
    </x:row>
    <x:row r="11" ht="58" customHeight="1">
      <x:c r="A11" s="179" t="str">
        <x:v>ADR-006</x:v>
      </x:c>
      <x:c r="B11" s="179" t="str"/>
      <x:c r="C11" s="179" t="str"/>
      <x:c r="D11" s="179" t="str"/>
      <x:c r="E11" s="179" t="str">
        <x:v>Not Started</x:v>
      </x:c>
      <x:c r="F11" s="179" t="str"/>
      <x:c r="G11" s="179" t="str"/>
      <x:c r="H11" s="179" t="str"/>
      <x:c r="I11" s="179" t="str"/>
      <x:c r="J11" s="179" t="str"/>
      <x:c r="K11" s="179" t="str"/>
      <x:c r="L11" s="179" t="str"/>
      <x:c r="M11" s="191" t="str"/>
      <x:c r="N11" s="179" t="str"/>
    </x:row>
    <x:row r="12" ht="58" customHeight="1">
      <x:c r="A12" s="179" t="str">
        <x:v>ADR-007</x:v>
      </x:c>
      <x:c r="B12" s="179" t="str"/>
      <x:c r="C12" s="179" t="str"/>
      <x:c r="D12" s="179" t="str"/>
      <x:c r="E12" s="179" t="str">
        <x:v>Not Started</x:v>
      </x:c>
      <x:c r="F12" s="179" t="str"/>
      <x:c r="G12" s="179" t="str"/>
      <x:c r="H12" s="179" t="str"/>
      <x:c r="I12" s="179" t="str"/>
      <x:c r="J12" s="179" t="str"/>
      <x:c r="K12" s="179" t="str"/>
      <x:c r="L12" s="179" t="str"/>
      <x:c r="M12" s="191" t="str"/>
      <x:c r="N12" s="179" t="str"/>
    </x:row>
    <x:row r="13" ht="58" customHeight="1">
      <x:c r="A13" s="179" t="str">
        <x:v>ADR-008</x:v>
      </x:c>
      <x:c r="B13" s="179" t="str"/>
      <x:c r="C13" s="179" t="str"/>
      <x:c r="D13" s="179" t="str"/>
      <x:c r="E13" s="179" t="str">
        <x:v>Not Started</x:v>
      </x:c>
      <x:c r="F13" s="179" t="str"/>
      <x:c r="G13" s="179" t="str"/>
      <x:c r="H13" s="179" t="str"/>
      <x:c r="I13" s="179" t="str"/>
      <x:c r="J13" s="179" t="str"/>
      <x:c r="K13" s="179" t="str"/>
      <x:c r="L13" s="179" t="str"/>
      <x:c r="M13" s="191" t="str"/>
      <x:c r="N13" s="179" t="str"/>
    </x:row>
    <x:row r="14" ht="58" customHeight="1">
      <x:c r="A14" s="179" t="str">
        <x:v>ADR-009</x:v>
      </x:c>
      <x:c r="B14" s="179" t="str"/>
      <x:c r="C14" s="179" t="str"/>
      <x:c r="D14" s="179" t="str"/>
      <x:c r="E14" s="179" t="str">
        <x:v>Not Started</x:v>
      </x:c>
      <x:c r="F14" s="179" t="str"/>
      <x:c r="G14" s="179" t="str"/>
      <x:c r="H14" s="179" t="str"/>
      <x:c r="I14" s="179" t="str"/>
      <x:c r="J14" s="179" t="str"/>
      <x:c r="K14" s="179" t="str"/>
      <x:c r="L14" s="179" t="str"/>
      <x:c r="M14" s="191" t="str"/>
      <x:c r="N14" s="179" t="str"/>
    </x:row>
    <x:row r="15" ht="58" customHeight="1">
      <x:c r="A15" s="179" t="str">
        <x:v>ADR-010</x:v>
      </x:c>
      <x:c r="B15" s="179" t="str"/>
      <x:c r="C15" s="179" t="str"/>
      <x:c r="D15" s="179" t="str"/>
      <x:c r="E15" s="179" t="str">
        <x:v>Not Started</x:v>
      </x:c>
      <x:c r="F15" s="179" t="str"/>
      <x:c r="G15" s="179" t="str"/>
      <x:c r="H15" s="179" t="str"/>
      <x:c r="I15" s="179" t="str"/>
      <x:c r="J15" s="179" t="str"/>
      <x:c r="K15" s="179" t="str"/>
      <x:c r="L15" s="179" t="str"/>
      <x:c r="M15" s="191" t="str"/>
      <x:c r="N15" s="179" t="str"/>
    </x:row>
    <x:row r="16" ht="58" customHeight="1">
      <x:c r="A16" s="179" t="str">
        <x:v>ADR-011</x:v>
      </x:c>
      <x:c r="B16" s="179" t="str"/>
      <x:c r="C16" s="179" t="str"/>
      <x:c r="D16" s="179" t="str"/>
      <x:c r="E16" s="179" t="str">
        <x:v>Not Started</x:v>
      </x:c>
      <x:c r="F16" s="179" t="str"/>
      <x:c r="G16" s="179" t="str"/>
      <x:c r="H16" s="179" t="str"/>
      <x:c r="I16" s="179" t="str"/>
      <x:c r="J16" s="179" t="str"/>
      <x:c r="K16" s="179" t="str"/>
      <x:c r="L16" s="179" t="str"/>
      <x:c r="M16" s="191" t="str"/>
      <x:c r="N16" s="179" t="str"/>
    </x:row>
    <x:row r="17" ht="58" customHeight="1">
      <x:c r="A17" s="179" t="str">
        <x:v>ADR-012</x:v>
      </x:c>
      <x:c r="B17" s="179" t="str"/>
      <x:c r="C17" s="179" t="str"/>
      <x:c r="D17" s="179" t="str"/>
      <x:c r="E17" s="179" t="str">
        <x:v>Not Started</x:v>
      </x:c>
      <x:c r="F17" s="179" t="str"/>
      <x:c r="G17" s="179" t="str"/>
      <x:c r="H17" s="179" t="str"/>
      <x:c r="I17" s="179" t="str"/>
      <x:c r="J17" s="179" t="str"/>
      <x:c r="K17" s="179" t="str"/>
      <x:c r="L17" s="179" t="str"/>
      <x:c r="M17" s="191" t="str"/>
      <x:c r="N17" s="179" t="str"/>
    </x:row>
    <x:row r="18" ht="58" customHeight="1">
      <x:c r="A18" s="179" t="str">
        <x:v>ADR-013</x:v>
      </x:c>
      <x:c r="B18" s="179" t="str"/>
      <x:c r="C18" s="179" t="str"/>
      <x:c r="D18" s="179" t="str"/>
      <x:c r="E18" s="179" t="str">
        <x:v>Not Started</x:v>
      </x:c>
      <x:c r="F18" s="179" t="str"/>
      <x:c r="G18" s="179" t="str"/>
      <x:c r="H18" s="179" t="str"/>
      <x:c r="I18" s="179" t="str"/>
      <x:c r="J18" s="179" t="str"/>
      <x:c r="K18" s="179" t="str"/>
      <x:c r="L18" s="179" t="str"/>
      <x:c r="M18" s="191" t="str"/>
      <x:c r="N18" s="179" t="str"/>
    </x:row>
    <x:row r="19" ht="58" customHeight="1">
      <x:c r="A19" s="179" t="str">
        <x:v>ADR-014</x:v>
      </x:c>
      <x:c r="B19" s="179" t="str"/>
      <x:c r="C19" s="179" t="str"/>
      <x:c r="D19" s="179" t="str"/>
      <x:c r="E19" s="179" t="str">
        <x:v>Not Started</x:v>
      </x:c>
      <x:c r="F19" s="179" t="str"/>
      <x:c r="G19" s="179" t="str"/>
      <x:c r="H19" s="179" t="str"/>
      <x:c r="I19" s="179" t="str"/>
      <x:c r="J19" s="179" t="str"/>
      <x:c r="K19" s="179" t="str"/>
      <x:c r="L19" s="179" t="str"/>
      <x:c r="M19" s="191" t="str"/>
      <x:c r="N19" s="179" t="str"/>
    </x:row>
    <x:row r="20" ht="58" customHeight="1">
      <x:c r="A20" s="179" t="str">
        <x:v>ADR-015</x:v>
      </x:c>
      <x:c r="B20" s="179" t="str"/>
      <x:c r="C20" s="179" t="str"/>
      <x:c r="D20" s="179" t="str"/>
      <x:c r="E20" s="179" t="str">
        <x:v>Not Started</x:v>
      </x:c>
      <x:c r="F20" s="179" t="str"/>
      <x:c r="G20" s="179" t="str"/>
      <x:c r="H20" s="179" t="str"/>
      <x:c r="I20" s="179" t="str"/>
      <x:c r="J20" s="179" t="str"/>
      <x:c r="K20" s="179" t="str"/>
      <x:c r="L20" s="179" t="str"/>
      <x:c r="M20" s="191" t="str"/>
      <x:c r="N20" s="179" t="str"/>
    </x:row>
    <x:row r="21" ht="58" customHeight="1">
      <x:c r="A21" s="179" t="str">
        <x:v>ADR-016</x:v>
      </x:c>
      <x:c r="B21" s="179" t="str"/>
      <x:c r="C21" s="179" t="str"/>
      <x:c r="D21" s="179" t="str"/>
      <x:c r="E21" s="179" t="str">
        <x:v>Not Started</x:v>
      </x:c>
      <x:c r="F21" s="179" t="str"/>
      <x:c r="G21" s="179" t="str"/>
      <x:c r="H21" s="179" t="str"/>
      <x:c r="I21" s="179" t="str"/>
      <x:c r="J21" s="179" t="str"/>
      <x:c r="K21" s="179" t="str"/>
      <x:c r="L21" s="179" t="str"/>
      <x:c r="M21" s="191" t="str"/>
      <x:c r="N21" s="179" t="str"/>
    </x:row>
    <x:row r="22" ht="58" customHeight="1">
      <x:c r="A22" s="179" t="str">
        <x:v>ADR-017</x:v>
      </x:c>
      <x:c r="B22" s="179" t="str"/>
      <x:c r="C22" s="179" t="str"/>
      <x:c r="D22" s="179" t="str"/>
      <x:c r="E22" s="179" t="str">
        <x:v>Not Started</x:v>
      </x:c>
      <x:c r="F22" s="179" t="str"/>
      <x:c r="G22" s="179" t="str"/>
      <x:c r="H22" s="179" t="str"/>
      <x:c r="I22" s="179" t="str"/>
      <x:c r="J22" s="179" t="str"/>
      <x:c r="K22" s="179" t="str"/>
      <x:c r="L22" s="179" t="str"/>
      <x:c r="M22" s="191" t="str"/>
      <x:c r="N22" s="179" t="str"/>
    </x:row>
    <x:row r="23" ht="58" customHeight="1">
      <x:c r="A23" s="179" t="str">
        <x:v>ADR-018</x:v>
      </x:c>
      <x:c r="B23" s="179" t="str"/>
      <x:c r="C23" s="179" t="str"/>
      <x:c r="D23" s="179" t="str"/>
      <x:c r="E23" s="179" t="str">
        <x:v>Not Started</x:v>
      </x:c>
      <x:c r="F23" s="179" t="str"/>
      <x:c r="G23" s="179" t="str"/>
      <x:c r="H23" s="179" t="str"/>
      <x:c r="I23" s="179" t="str"/>
      <x:c r="J23" s="179" t="str"/>
      <x:c r="K23" s="179" t="str"/>
      <x:c r="L23" s="179" t="str"/>
      <x:c r="M23" s="191" t="str"/>
      <x:c r="N23" s="179" t="str"/>
    </x:row>
    <x:row r="24" ht="58" customHeight="1">
      <x:c r="A24" s="179" t="str">
        <x:v>ADR-019</x:v>
      </x:c>
      <x:c r="B24" s="179" t="str"/>
      <x:c r="C24" s="179" t="str"/>
      <x:c r="D24" s="179" t="str"/>
      <x:c r="E24" s="179" t="str">
        <x:v>Not Started</x:v>
      </x:c>
      <x:c r="F24" s="179" t="str"/>
      <x:c r="G24" s="179" t="str"/>
      <x:c r="H24" s="179" t="str"/>
      <x:c r="I24" s="179" t="str"/>
      <x:c r="J24" s="179" t="str"/>
      <x:c r="K24" s="179" t="str"/>
      <x:c r="L24" s="179" t="str"/>
      <x:c r="M24" s="191" t="str"/>
      <x:c r="N24" s="179" t="str"/>
    </x:row>
    <x:row r="25" ht="58" customHeight="1">
      <x:c r="A25" s="179" t="str">
        <x:v>ADR-020</x:v>
      </x:c>
      <x:c r="B25" s="179" t="str"/>
      <x:c r="C25" s="179" t="str"/>
      <x:c r="D25" s="179" t="str"/>
      <x:c r="E25" s="179" t="str">
        <x:v>Not Started</x:v>
      </x:c>
      <x:c r="F25" s="179" t="str"/>
      <x:c r="G25" s="179" t="str"/>
      <x:c r="H25" s="179" t="str"/>
      <x:c r="I25" s="179" t="str"/>
      <x:c r="J25" s="179" t="str"/>
      <x:c r="K25" s="179" t="str"/>
      <x:c r="L25" s="179" t="str"/>
      <x:c r="M25" s="191" t="str"/>
      <x:c r="N25" s="179" t="str"/>
    </x:row>
  </x:sheetData>
  <x:mergeCells>
    <x:mergeCell ref="A1:N1"/>
    <x:mergeCell ref="A2:N2"/>
  </x:mergeCells>
  <x:conditionalFormatting sqref="E6:E25">
    <x:cfRule type="containsText" dxfId="24" priority="1" operator="containsText" text="Approved"/>
    <x:cfRule type="containsText" dxfId="25" priority="2" operator="containsText" text="Rejected"/>
    <x:cfRule type="containsText" dxfId="26" priority="3" operator="containsText" text="Proposed"/>
  </x:conditionalFormatting>
  <x:dataValidations count="1">
    <x:dataValidation type="list" sqref="E6:E25">
      <x:formula1>"Not Started,Proposed,Approved,Rejected,Superseded"</x:formula1>
    </x:dataValidation>
  </x:dataValidations>
  <x:pageMargins left="0.7" right="0.7" top="0.75" bottom="0.75" header="0.3" footer="0.3"/>
  <x:tableParts count="1">
    <x:tablePart xmlns:r="http://schemas.openxmlformats.org/officeDocument/2006/relationships" r:id="R3e0119273c9e41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28" hidden="0" customWidth="1"/>
    <x:col min="4" max="4" width="28" hidden="0" customWidth="1"/>
    <x:col min="5" max="5" width="24" hidden="0" customWidth="1"/>
    <x:col min="6" max="6" width="22" hidden="0" customWidth="1"/>
    <x:col min="7" max="7" width="18" hidden="0" customWidth="1"/>
    <x:col min="8" max="8" width="23" hidden="0" customWidth="1"/>
    <x:col min="9" max="9" width="23" hidden="0" customWidth="1"/>
    <x:col min="10" max="10" width="14" hidden="0" customWidth="1"/>
    <x:col min="11" max="11" width="22" hidden="0" customWidth="1"/>
    <x:col min="12" max="12" width="18" hidden="0" customWidth="1"/>
    <x:col min="13" max="13" width="36" hidden="0" customWidth="1"/>
    <x:col min="14" max="14" width="40" hidden="0" customWidth="1"/>
    <x:col min="15" max="15" width="24" hidden="0" customWidth="1"/>
    <x:col min="16" max="16" width="22" hidden="0" customWidth="1"/>
    <x:col min="17" max="17" width="30" hidden="0" customWidth="1"/>
  </x:cols>
  <x:sheetData>
    <x:row r="1" ht="34" customHeight="1">
      <x:c r="A1" s="6" t="str">
        <x:v>Technology Lifecycle &amp; Dependency Inventory</x:v>
      </x:c>
      <x:c r="B1" s="6"/>
      <x:c r="C1" s="6"/>
      <x:c r="D1" s="6"/>
      <x:c r="E1" s="6"/>
      <x:c r="F1" s="6"/>
      <x:c r="G1" s="6"/>
      <x:c r="H1" s="6"/>
      <x:c r="I1" s="6"/>
      <x:c r="J1" s="6"/>
      <x:c r="K1" s="6"/>
      <x:c r="L1" s="6"/>
      <x:c r="M1" s="6"/>
      <x:c r="N1" s="6"/>
      <x:c r="O1" s="6"/>
      <x:c r="P1" s="6"/>
      <x:c r="Q1" s="6"/>
    </x:row>
    <x:row r="2" ht="34" customHeight="1">
      <x:c r="A2" s="12" t="str">
        <x:v>Inventory only components actually present in the detected architecture. Do not add SaaS infrastructure components the customer does not operate; do not omit device firmware, gateways, runtimes or interfaces that are in scope.</x:v>
      </x:c>
      <x:c r="B2" s="12"/>
      <x:c r="C2" s="12"/>
      <x:c r="D2" s="12"/>
      <x:c r="E2" s="12"/>
      <x:c r="F2" s="12"/>
      <x:c r="G2" s="12"/>
      <x:c r="H2" s="12"/>
      <x:c r="I2" s="12"/>
      <x:c r="J2" s="12"/>
      <x:c r="K2" s="12"/>
      <x:c r="L2" s="12"/>
      <x:c r="M2" s="12"/>
      <x:c r="N2" s="12"/>
      <x:c r="O2" s="12"/>
      <x:c r="P2" s="12"/>
      <x:c r="Q2" s="12"/>
    </x:row>
    <x:row r="3">
      <x:c r="A3" s="2"/>
      <x:c r="B3" s="2"/>
      <x:c r="C3" s="2"/>
      <x:c r="D3" s="2"/>
      <x:c r="E3" s="2"/>
      <x:c r="F3" s="2"/>
      <x:c r="G3" s="2"/>
      <x:c r="H3" s="2"/>
      <x:c r="I3" s="2"/>
      <x:c r="J3" s="2"/>
      <x:c r="K3" s="2"/>
      <x:c r="L3" s="2"/>
      <x:c r="M3" s="2"/>
      <x:c r="N3" s="2"/>
      <x:c r="O3" s="2"/>
      <x:c r="P3" s="2"/>
      <x:c r="Q3" s="2"/>
    </x:row>
    <x:row r="4">
      <x:c r="A4" s="2"/>
      <x:c r="B4" s="2"/>
      <x:c r="C4" s="2"/>
      <x:c r="D4" s="2"/>
      <x:c r="E4" s="2"/>
      <x:c r="F4" s="2"/>
      <x:c r="G4" s="2"/>
      <x:c r="H4" s="2"/>
      <x:c r="I4" s="2"/>
      <x:c r="J4" s="2"/>
      <x:c r="K4" s="2"/>
      <x:c r="L4" s="2"/>
      <x:c r="M4" s="2"/>
      <x:c r="N4" s="2"/>
      <x:c r="O4" s="2"/>
      <x:c r="P4" s="2"/>
      <x:c r="Q4" s="2"/>
    </x:row>
    <x:row r="5">
      <x:c r="A5" s="93" t="str">
        <x:v>Component ID</x:v>
      </x:c>
      <x:c r="B5" s="93" t="str">
        <x:v>Architecture Lens</x:v>
      </x:c>
      <x:c r="C5" s="93" t="str">
        <x:v>Component / Dependency</x:v>
      </x:c>
      <x:c r="D5" s="93" t="str">
        <x:v>Architectural Role</x:v>
      </x:c>
      <x:c r="E5" s="93" t="str">
        <x:v>Hosting / Location</x:v>
      </x:c>
      <x:c r="F5" s="93" t="str">
        <x:v>Technical Owner</x:v>
      </x:c>
      <x:c r="G5" s="93" t="str">
        <x:v>Current Version</x:v>
      </x:c>
      <x:c r="H5" s="93" t="str">
        <x:v>Vendor-Supported Range</x:v>
      </x:c>
      <x:c r="I5" s="93" t="str">
        <x:v>Enterprise Baseline</x:v>
      </x:c>
      <x:c r="J5" s="93" t="str">
        <x:v>End of Support</x:v>
      </x:c>
      <x:c r="K5" s="93" t="str">
        <x:v>Patch Owner</x:v>
      </x:c>
      <x:c r="L5" s="93" t="str">
        <x:v>Patch Cadence</x:v>
      </x:c>
      <x:c r="M5" s="93" t="str">
        <x:v>Upgrade / Validation Method</x:v>
      </x:c>
      <x:c r="N5" s="93" t="str">
        <x:v>Compatibility / Coupling Constraint</x:v>
      </x:c>
      <x:c r="O5" s="93" t="str">
        <x:v>Currency Assessment</x:v>
      </x:c>
      <x:c r="P5" s="93" t="str">
        <x:v>Related Risk IDs</x:v>
      </x:c>
      <x:c r="Q5" s="93" t="str">
        <x:v>Source / Evidence</x:v>
      </x:c>
    </x:row>
    <x:row r="6" ht="48" customHeight="1">
      <x:c r="A6" s="98" t="str">
        <x:v>CMP-001</x:v>
      </x:c>
      <x:c r="B6" s="98" t="str"/>
      <x:c r="C6" s="98" t="str"/>
      <x:c r="D6" s="98" t="str"/>
      <x:c r="E6" s="98" t="str"/>
      <x:c r="F6" s="98" t="str"/>
      <x:c r="G6" s="98" t="str"/>
      <x:c r="H6" s="98" t="str"/>
      <x:c r="I6" s="98" t="str"/>
      <x:c r="J6" s="190" t="str"/>
      <x:c r="K6" s="98" t="str"/>
      <x:c r="L6" s="98" t="str"/>
      <x:c r="M6" s="98" t="str"/>
      <x:c r="N6" s="98" t="str"/>
      <x:c r="O6" s="98" t="str">
        <x:v>Unknown</x:v>
      </x:c>
      <x:c r="P6" s="98" t="str"/>
      <x:c r="Q6" s="98" t="str"/>
    </x:row>
    <x:row r="7" ht="48" customHeight="1">
      <x:c r="A7" s="179" t="str">
        <x:v>CMP-002</x:v>
      </x:c>
      <x:c r="B7" s="179" t="str"/>
      <x:c r="C7" s="179" t="str"/>
      <x:c r="D7" s="179" t="str"/>
      <x:c r="E7" s="179" t="str"/>
      <x:c r="F7" s="179" t="str"/>
      <x:c r="G7" s="179" t="str"/>
      <x:c r="H7" s="179" t="str"/>
      <x:c r="I7" s="179" t="str"/>
      <x:c r="J7" s="191" t="str"/>
      <x:c r="K7" s="179" t="str"/>
      <x:c r="L7" s="179" t="str"/>
      <x:c r="M7" s="179" t="str"/>
      <x:c r="N7" s="179" t="str"/>
      <x:c r="O7" s="179" t="str">
        <x:v>Unknown</x:v>
      </x:c>
      <x:c r="P7" s="179" t="str"/>
      <x:c r="Q7" s="179" t="str"/>
    </x:row>
    <x:row r="8" ht="48" customHeight="1">
      <x:c r="A8" s="179" t="str">
        <x:v>CMP-003</x:v>
      </x:c>
      <x:c r="B8" s="179" t="str"/>
      <x:c r="C8" s="179" t="str"/>
      <x:c r="D8" s="179" t="str"/>
      <x:c r="E8" s="179" t="str"/>
      <x:c r="F8" s="179" t="str"/>
      <x:c r="G8" s="179" t="str"/>
      <x:c r="H8" s="179" t="str"/>
      <x:c r="I8" s="179" t="str"/>
      <x:c r="J8" s="191" t="str"/>
      <x:c r="K8" s="179" t="str"/>
      <x:c r="L8" s="179" t="str"/>
      <x:c r="M8" s="179" t="str"/>
      <x:c r="N8" s="179" t="str"/>
      <x:c r="O8" s="179" t="str">
        <x:v>Unknown</x:v>
      </x:c>
      <x:c r="P8" s="179" t="str"/>
      <x:c r="Q8" s="179" t="str"/>
    </x:row>
    <x:row r="9" ht="48" customHeight="1">
      <x:c r="A9" s="179" t="str">
        <x:v>CMP-004</x:v>
      </x:c>
      <x:c r="B9" s="179" t="str"/>
      <x:c r="C9" s="179" t="str"/>
      <x:c r="D9" s="179" t="str"/>
      <x:c r="E9" s="179" t="str"/>
      <x:c r="F9" s="179" t="str"/>
      <x:c r="G9" s="179" t="str"/>
      <x:c r="H9" s="179" t="str"/>
      <x:c r="I9" s="179" t="str"/>
      <x:c r="J9" s="191" t="str"/>
      <x:c r="K9" s="179" t="str"/>
      <x:c r="L9" s="179" t="str"/>
      <x:c r="M9" s="179" t="str"/>
      <x:c r="N9" s="179" t="str"/>
      <x:c r="O9" s="179" t="str">
        <x:v>Unknown</x:v>
      </x:c>
      <x:c r="P9" s="179" t="str"/>
      <x:c r="Q9" s="179" t="str"/>
    </x:row>
    <x:row r="10" ht="48" customHeight="1">
      <x:c r="A10" s="179" t="str">
        <x:v>CMP-005</x:v>
      </x:c>
      <x:c r="B10" s="179" t="str"/>
      <x:c r="C10" s="179" t="str"/>
      <x:c r="D10" s="179" t="str"/>
      <x:c r="E10" s="179" t="str"/>
      <x:c r="F10" s="179" t="str"/>
      <x:c r="G10" s="179" t="str"/>
      <x:c r="H10" s="179" t="str"/>
      <x:c r="I10" s="179" t="str"/>
      <x:c r="J10" s="191" t="str"/>
      <x:c r="K10" s="179" t="str"/>
      <x:c r="L10" s="179" t="str"/>
      <x:c r="M10" s="179" t="str"/>
      <x:c r="N10" s="179" t="str"/>
      <x:c r="O10" s="179" t="str">
        <x:v>Unknown</x:v>
      </x:c>
      <x:c r="P10" s="179" t="str"/>
      <x:c r="Q10" s="179" t="str"/>
    </x:row>
    <x:row r="11" ht="48" customHeight="1">
      <x:c r="A11" s="179" t="str">
        <x:v>CMP-006</x:v>
      </x:c>
      <x:c r="B11" s="179" t="str"/>
      <x:c r="C11" s="179" t="str"/>
      <x:c r="D11" s="179" t="str"/>
      <x:c r="E11" s="179" t="str"/>
      <x:c r="F11" s="179" t="str"/>
      <x:c r="G11" s="179" t="str"/>
      <x:c r="H11" s="179" t="str"/>
      <x:c r="I11" s="179" t="str"/>
      <x:c r="J11" s="191" t="str"/>
      <x:c r="K11" s="179" t="str"/>
      <x:c r="L11" s="179" t="str"/>
      <x:c r="M11" s="179" t="str"/>
      <x:c r="N11" s="179" t="str"/>
      <x:c r="O11" s="179" t="str">
        <x:v>Unknown</x:v>
      </x:c>
      <x:c r="P11" s="179" t="str"/>
      <x:c r="Q11" s="179" t="str"/>
    </x:row>
    <x:row r="12" ht="48" customHeight="1">
      <x:c r="A12" s="179" t="str">
        <x:v>CMP-007</x:v>
      </x:c>
      <x:c r="B12" s="179" t="str"/>
      <x:c r="C12" s="179" t="str"/>
      <x:c r="D12" s="179" t="str"/>
      <x:c r="E12" s="179" t="str"/>
      <x:c r="F12" s="179" t="str"/>
      <x:c r="G12" s="179" t="str"/>
      <x:c r="H12" s="179" t="str"/>
      <x:c r="I12" s="179" t="str"/>
      <x:c r="J12" s="191" t="str"/>
      <x:c r="K12" s="179" t="str"/>
      <x:c r="L12" s="179" t="str"/>
      <x:c r="M12" s="179" t="str"/>
      <x:c r="N12" s="179" t="str"/>
      <x:c r="O12" s="179" t="str">
        <x:v>Unknown</x:v>
      </x:c>
      <x:c r="P12" s="179" t="str"/>
      <x:c r="Q12" s="179" t="str"/>
    </x:row>
    <x:row r="13" ht="48" customHeight="1">
      <x:c r="A13" s="179" t="str">
        <x:v>CMP-008</x:v>
      </x:c>
      <x:c r="B13" s="179" t="str"/>
      <x:c r="C13" s="179" t="str"/>
      <x:c r="D13" s="179" t="str"/>
      <x:c r="E13" s="179" t="str"/>
      <x:c r="F13" s="179" t="str"/>
      <x:c r="G13" s="179" t="str"/>
      <x:c r="H13" s="179" t="str"/>
      <x:c r="I13" s="179" t="str"/>
      <x:c r="J13" s="191" t="str"/>
      <x:c r="K13" s="179" t="str"/>
      <x:c r="L13" s="179" t="str"/>
      <x:c r="M13" s="179" t="str"/>
      <x:c r="N13" s="179" t="str"/>
      <x:c r="O13" s="179" t="str">
        <x:v>Unknown</x:v>
      </x:c>
      <x:c r="P13" s="179" t="str"/>
      <x:c r="Q13" s="179" t="str"/>
    </x:row>
    <x:row r="14" ht="48" customHeight="1">
      <x:c r="A14" s="179" t="str">
        <x:v>CMP-009</x:v>
      </x:c>
      <x:c r="B14" s="179" t="str"/>
      <x:c r="C14" s="179" t="str"/>
      <x:c r="D14" s="179" t="str"/>
      <x:c r="E14" s="179" t="str"/>
      <x:c r="F14" s="179" t="str"/>
      <x:c r="G14" s="179" t="str"/>
      <x:c r="H14" s="179" t="str"/>
      <x:c r="I14" s="179" t="str"/>
      <x:c r="J14" s="191" t="str"/>
      <x:c r="K14" s="179" t="str"/>
      <x:c r="L14" s="179" t="str"/>
      <x:c r="M14" s="179" t="str"/>
      <x:c r="N14" s="179" t="str"/>
      <x:c r="O14" s="179" t="str">
        <x:v>Unknown</x:v>
      </x:c>
      <x:c r="P14" s="179" t="str"/>
      <x:c r="Q14" s="179" t="str"/>
    </x:row>
    <x:row r="15" ht="48" customHeight="1">
      <x:c r="A15" s="179" t="str">
        <x:v>CMP-010</x:v>
      </x:c>
      <x:c r="B15" s="179" t="str"/>
      <x:c r="C15" s="179" t="str"/>
      <x:c r="D15" s="179" t="str"/>
      <x:c r="E15" s="179" t="str"/>
      <x:c r="F15" s="179" t="str"/>
      <x:c r="G15" s="179" t="str"/>
      <x:c r="H15" s="179" t="str"/>
      <x:c r="I15" s="179" t="str"/>
      <x:c r="J15" s="191" t="str"/>
      <x:c r="K15" s="179" t="str"/>
      <x:c r="L15" s="179" t="str"/>
      <x:c r="M15" s="179" t="str"/>
      <x:c r="N15" s="179" t="str"/>
      <x:c r="O15" s="179" t="str">
        <x:v>Unknown</x:v>
      </x:c>
      <x:c r="P15" s="179" t="str"/>
      <x:c r="Q15" s="179" t="str"/>
    </x:row>
    <x:row r="16" ht="48" customHeight="1">
      <x:c r="A16" s="179" t="str">
        <x:v>CMP-011</x:v>
      </x:c>
      <x:c r="B16" s="179" t="str"/>
      <x:c r="C16" s="179" t="str"/>
      <x:c r="D16" s="179" t="str"/>
      <x:c r="E16" s="179" t="str"/>
      <x:c r="F16" s="179" t="str"/>
      <x:c r="G16" s="179" t="str"/>
      <x:c r="H16" s="179" t="str"/>
      <x:c r="I16" s="179" t="str"/>
      <x:c r="J16" s="191" t="str"/>
      <x:c r="K16" s="179" t="str"/>
      <x:c r="L16" s="179" t="str"/>
      <x:c r="M16" s="179" t="str"/>
      <x:c r="N16" s="179" t="str"/>
      <x:c r="O16" s="179" t="str">
        <x:v>Unknown</x:v>
      </x:c>
      <x:c r="P16" s="179" t="str"/>
      <x:c r="Q16" s="179" t="str"/>
    </x:row>
    <x:row r="17" ht="48" customHeight="1">
      <x:c r="A17" s="179" t="str">
        <x:v>CMP-012</x:v>
      </x:c>
      <x:c r="B17" s="179" t="str"/>
      <x:c r="C17" s="179" t="str"/>
      <x:c r="D17" s="179" t="str"/>
      <x:c r="E17" s="179" t="str"/>
      <x:c r="F17" s="179" t="str"/>
      <x:c r="G17" s="179" t="str"/>
      <x:c r="H17" s="179" t="str"/>
      <x:c r="I17" s="179" t="str"/>
      <x:c r="J17" s="191" t="str"/>
      <x:c r="K17" s="179" t="str"/>
      <x:c r="L17" s="179" t="str"/>
      <x:c r="M17" s="179" t="str"/>
      <x:c r="N17" s="179" t="str"/>
      <x:c r="O17" s="179" t="str">
        <x:v>Unknown</x:v>
      </x:c>
      <x:c r="P17" s="179" t="str"/>
      <x:c r="Q17" s="179" t="str"/>
    </x:row>
    <x:row r="18" ht="48" customHeight="1">
      <x:c r="A18" s="179" t="str">
        <x:v>CMP-013</x:v>
      </x:c>
      <x:c r="B18" s="179" t="str"/>
      <x:c r="C18" s="179" t="str"/>
      <x:c r="D18" s="179" t="str"/>
      <x:c r="E18" s="179" t="str"/>
      <x:c r="F18" s="179" t="str"/>
      <x:c r="G18" s="179" t="str"/>
      <x:c r="H18" s="179" t="str"/>
      <x:c r="I18" s="179" t="str"/>
      <x:c r="J18" s="191" t="str"/>
      <x:c r="K18" s="179" t="str"/>
      <x:c r="L18" s="179" t="str"/>
      <x:c r="M18" s="179" t="str"/>
      <x:c r="N18" s="179" t="str"/>
      <x:c r="O18" s="179" t="str">
        <x:v>Unknown</x:v>
      </x:c>
      <x:c r="P18" s="179" t="str"/>
      <x:c r="Q18" s="179" t="str"/>
    </x:row>
    <x:row r="19" ht="48" customHeight="1">
      <x:c r="A19" s="179" t="str">
        <x:v>CMP-014</x:v>
      </x:c>
      <x:c r="B19" s="179" t="str"/>
      <x:c r="C19" s="179" t="str"/>
      <x:c r="D19" s="179" t="str"/>
      <x:c r="E19" s="179" t="str"/>
      <x:c r="F19" s="179" t="str"/>
      <x:c r="G19" s="179" t="str"/>
      <x:c r="H19" s="179" t="str"/>
      <x:c r="I19" s="179" t="str"/>
      <x:c r="J19" s="191" t="str"/>
      <x:c r="K19" s="179" t="str"/>
      <x:c r="L19" s="179" t="str"/>
      <x:c r="M19" s="179" t="str"/>
      <x:c r="N19" s="179" t="str"/>
      <x:c r="O19" s="179" t="str">
        <x:v>Unknown</x:v>
      </x:c>
      <x:c r="P19" s="179" t="str"/>
      <x:c r="Q19" s="179" t="str"/>
    </x:row>
    <x:row r="20" ht="48" customHeight="1">
      <x:c r="A20" s="179" t="str">
        <x:v>CMP-015</x:v>
      </x:c>
      <x:c r="B20" s="179" t="str"/>
      <x:c r="C20" s="179" t="str"/>
      <x:c r="D20" s="179" t="str"/>
      <x:c r="E20" s="179" t="str"/>
      <x:c r="F20" s="179" t="str"/>
      <x:c r="G20" s="179" t="str"/>
      <x:c r="H20" s="179" t="str"/>
      <x:c r="I20" s="179" t="str"/>
      <x:c r="J20" s="191" t="str"/>
      <x:c r="K20" s="179" t="str"/>
      <x:c r="L20" s="179" t="str"/>
      <x:c r="M20" s="179" t="str"/>
      <x:c r="N20" s="179" t="str"/>
      <x:c r="O20" s="179" t="str">
        <x:v>Unknown</x:v>
      </x:c>
      <x:c r="P20" s="179" t="str"/>
      <x:c r="Q20" s="179" t="str"/>
    </x:row>
    <x:row r="21" ht="48" customHeight="1">
      <x:c r="A21" s="179" t="str">
        <x:v>CMP-016</x:v>
      </x:c>
      <x:c r="B21" s="179" t="str"/>
      <x:c r="C21" s="179" t="str"/>
      <x:c r="D21" s="179" t="str"/>
      <x:c r="E21" s="179" t="str"/>
      <x:c r="F21" s="179" t="str"/>
      <x:c r="G21" s="179" t="str"/>
      <x:c r="H21" s="179" t="str"/>
      <x:c r="I21" s="179" t="str"/>
      <x:c r="J21" s="191" t="str"/>
      <x:c r="K21" s="179" t="str"/>
      <x:c r="L21" s="179" t="str"/>
      <x:c r="M21" s="179" t="str"/>
      <x:c r="N21" s="179" t="str"/>
      <x:c r="O21" s="179" t="str">
        <x:v>Unknown</x:v>
      </x:c>
      <x:c r="P21" s="179" t="str"/>
      <x:c r="Q21" s="179" t="str"/>
    </x:row>
    <x:row r="22" ht="48" customHeight="1">
      <x:c r="A22" s="179" t="str">
        <x:v>CMP-017</x:v>
      </x:c>
      <x:c r="B22" s="179" t="str"/>
      <x:c r="C22" s="179" t="str"/>
      <x:c r="D22" s="179" t="str"/>
      <x:c r="E22" s="179" t="str"/>
      <x:c r="F22" s="179" t="str"/>
      <x:c r="G22" s="179" t="str"/>
      <x:c r="H22" s="179" t="str"/>
      <x:c r="I22" s="179" t="str"/>
      <x:c r="J22" s="191" t="str"/>
      <x:c r="K22" s="179" t="str"/>
      <x:c r="L22" s="179" t="str"/>
      <x:c r="M22" s="179" t="str"/>
      <x:c r="N22" s="179" t="str"/>
      <x:c r="O22" s="179" t="str">
        <x:v>Unknown</x:v>
      </x:c>
      <x:c r="P22" s="179" t="str"/>
      <x:c r="Q22" s="179" t="str"/>
    </x:row>
    <x:row r="23" ht="48" customHeight="1">
      <x:c r="A23" s="179" t="str">
        <x:v>CMP-018</x:v>
      </x:c>
      <x:c r="B23" s="179" t="str"/>
      <x:c r="C23" s="179" t="str"/>
      <x:c r="D23" s="179" t="str"/>
      <x:c r="E23" s="179" t="str"/>
      <x:c r="F23" s="179" t="str"/>
      <x:c r="G23" s="179" t="str"/>
      <x:c r="H23" s="179" t="str"/>
      <x:c r="I23" s="179" t="str"/>
      <x:c r="J23" s="191" t="str"/>
      <x:c r="K23" s="179" t="str"/>
      <x:c r="L23" s="179" t="str"/>
      <x:c r="M23" s="179" t="str"/>
      <x:c r="N23" s="179" t="str"/>
      <x:c r="O23" s="179" t="str">
        <x:v>Unknown</x:v>
      </x:c>
      <x:c r="P23" s="179" t="str"/>
      <x:c r="Q23" s="179" t="str"/>
    </x:row>
    <x:row r="24" ht="48" customHeight="1">
      <x:c r="A24" s="179" t="str">
        <x:v>CMP-019</x:v>
      </x:c>
      <x:c r="B24" s="179" t="str"/>
      <x:c r="C24" s="179" t="str"/>
      <x:c r="D24" s="179" t="str"/>
      <x:c r="E24" s="179" t="str"/>
      <x:c r="F24" s="179" t="str"/>
      <x:c r="G24" s="179" t="str"/>
      <x:c r="H24" s="179" t="str"/>
      <x:c r="I24" s="179" t="str"/>
      <x:c r="J24" s="191" t="str"/>
      <x:c r="K24" s="179" t="str"/>
      <x:c r="L24" s="179" t="str"/>
      <x:c r="M24" s="179" t="str"/>
      <x:c r="N24" s="179" t="str"/>
      <x:c r="O24" s="179" t="str">
        <x:v>Unknown</x:v>
      </x:c>
      <x:c r="P24" s="179" t="str"/>
      <x:c r="Q24" s="179" t="str"/>
    </x:row>
    <x:row r="25" ht="48" customHeight="1">
      <x:c r="A25" s="179" t="str">
        <x:v>CMP-020</x:v>
      </x:c>
      <x:c r="B25" s="179" t="str"/>
      <x:c r="C25" s="179" t="str"/>
      <x:c r="D25" s="179" t="str"/>
      <x:c r="E25" s="179" t="str"/>
      <x:c r="F25" s="179" t="str"/>
      <x:c r="G25" s="179" t="str"/>
      <x:c r="H25" s="179" t="str"/>
      <x:c r="I25" s="179" t="str"/>
      <x:c r="J25" s="191" t="str"/>
      <x:c r="K25" s="179" t="str"/>
      <x:c r="L25" s="179" t="str"/>
      <x:c r="M25" s="179" t="str"/>
      <x:c r="N25" s="179" t="str"/>
      <x:c r="O25" s="179" t="str">
        <x:v>Unknown</x:v>
      </x:c>
      <x:c r="P25" s="179" t="str"/>
      <x:c r="Q25" s="179" t="str"/>
    </x:row>
    <x:row r="26" ht="48" customHeight="1">
      <x:c r="A26" s="179" t="str">
        <x:v>CMP-021</x:v>
      </x:c>
      <x:c r="B26" s="179" t="str"/>
      <x:c r="C26" s="179" t="str"/>
      <x:c r="D26" s="179" t="str"/>
      <x:c r="E26" s="179" t="str"/>
      <x:c r="F26" s="179" t="str"/>
      <x:c r="G26" s="179" t="str"/>
      <x:c r="H26" s="179" t="str"/>
      <x:c r="I26" s="179" t="str"/>
      <x:c r="J26" s="191" t="str"/>
      <x:c r="K26" s="179" t="str"/>
      <x:c r="L26" s="179" t="str"/>
      <x:c r="M26" s="179" t="str"/>
      <x:c r="N26" s="179" t="str"/>
      <x:c r="O26" s="179" t="str">
        <x:v>Unknown</x:v>
      </x:c>
      <x:c r="P26" s="179" t="str"/>
      <x:c r="Q26" s="179" t="str"/>
    </x:row>
    <x:row r="27" ht="48" customHeight="1">
      <x:c r="A27" s="179" t="str">
        <x:v>CMP-022</x:v>
      </x:c>
      <x:c r="B27" s="179" t="str"/>
      <x:c r="C27" s="179" t="str"/>
      <x:c r="D27" s="179" t="str"/>
      <x:c r="E27" s="179" t="str"/>
      <x:c r="F27" s="179" t="str"/>
      <x:c r="G27" s="179" t="str"/>
      <x:c r="H27" s="179" t="str"/>
      <x:c r="I27" s="179" t="str"/>
      <x:c r="J27" s="191" t="str"/>
      <x:c r="K27" s="179" t="str"/>
      <x:c r="L27" s="179" t="str"/>
      <x:c r="M27" s="179" t="str"/>
      <x:c r="N27" s="179" t="str"/>
      <x:c r="O27" s="179" t="str">
        <x:v>Unknown</x:v>
      </x:c>
      <x:c r="P27" s="179" t="str"/>
      <x:c r="Q27" s="179" t="str"/>
    </x:row>
    <x:row r="28" ht="48" customHeight="1">
      <x:c r="A28" s="179" t="str">
        <x:v>CMP-023</x:v>
      </x:c>
      <x:c r="B28" s="179" t="str"/>
      <x:c r="C28" s="179" t="str"/>
      <x:c r="D28" s="179" t="str"/>
      <x:c r="E28" s="179" t="str"/>
      <x:c r="F28" s="179" t="str"/>
      <x:c r="G28" s="179" t="str"/>
      <x:c r="H28" s="179" t="str"/>
      <x:c r="I28" s="179" t="str"/>
      <x:c r="J28" s="191" t="str"/>
      <x:c r="K28" s="179" t="str"/>
      <x:c r="L28" s="179" t="str"/>
      <x:c r="M28" s="179" t="str"/>
      <x:c r="N28" s="179" t="str"/>
      <x:c r="O28" s="179" t="str">
        <x:v>Unknown</x:v>
      </x:c>
      <x:c r="P28" s="179" t="str"/>
      <x:c r="Q28" s="179" t="str"/>
    </x:row>
    <x:row r="29" ht="48" customHeight="1">
      <x:c r="A29" s="179" t="str">
        <x:v>CMP-024</x:v>
      </x:c>
      <x:c r="B29" s="179" t="str"/>
      <x:c r="C29" s="179" t="str"/>
      <x:c r="D29" s="179" t="str"/>
      <x:c r="E29" s="179" t="str"/>
      <x:c r="F29" s="179" t="str"/>
      <x:c r="G29" s="179" t="str"/>
      <x:c r="H29" s="179" t="str"/>
      <x:c r="I29" s="179" t="str"/>
      <x:c r="J29" s="191" t="str"/>
      <x:c r="K29" s="179" t="str"/>
      <x:c r="L29" s="179" t="str"/>
      <x:c r="M29" s="179" t="str"/>
      <x:c r="N29" s="179" t="str"/>
      <x:c r="O29" s="179" t="str">
        <x:v>Unknown</x:v>
      </x:c>
      <x:c r="P29" s="179" t="str"/>
      <x:c r="Q29" s="179" t="str"/>
    </x:row>
    <x:row r="30" ht="48" customHeight="1">
      <x:c r="A30" s="179" t="str">
        <x:v>CMP-025</x:v>
      </x:c>
      <x:c r="B30" s="179" t="str"/>
      <x:c r="C30" s="179" t="str"/>
      <x:c r="D30" s="179" t="str"/>
      <x:c r="E30" s="179" t="str"/>
      <x:c r="F30" s="179" t="str"/>
      <x:c r="G30" s="179" t="str"/>
      <x:c r="H30" s="179" t="str"/>
      <x:c r="I30" s="179" t="str"/>
      <x:c r="J30" s="191" t="str"/>
      <x:c r="K30" s="179" t="str"/>
      <x:c r="L30" s="179" t="str"/>
      <x:c r="M30" s="179" t="str"/>
      <x:c r="N30" s="179" t="str"/>
      <x:c r="O30" s="179" t="str">
        <x:v>Unknown</x:v>
      </x:c>
      <x:c r="P30" s="179" t="str"/>
      <x:c r="Q30" s="179" t="str"/>
    </x:row>
  </x:sheetData>
  <x:mergeCells>
    <x:mergeCell ref="A1:Q1"/>
    <x:mergeCell ref="A2:Q2"/>
  </x:mergeCells>
  <x:conditionalFormatting sqref="O6:O30">
    <x:cfRule type="containsText" dxfId="27" priority="1" operator="containsText" text="Supported"/>
    <x:cfRule type="containsText" dxfId="28" priority="2" operator="containsText" text="Out of Support"/>
    <x:cfRule type="containsText" dxfId="29" priority="3" operator="containsText" text="Below Enterprise Baseline"/>
  </x:conditionalFormatting>
  <x:dataValidations count="1">
    <x:dataValidation type="list" sqref="O6:O30">
      <x:formula1>"Unknown,Supported,Below Enterprise Baseline,Out of Support,Exception,N/A"</x:formula1>
    </x:dataValidation>
  </x:dataValidations>
  <x:pageMargins left="0.7" right="0.7" top="0.75" bottom="0.75" header="0.3" footer="0.3"/>
  <x:tableParts count="1">
    <x:tablePart xmlns:r="http://schemas.openxmlformats.org/officeDocument/2006/relationships" r:id="R70aa535cb20c49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2" hidden="0" customWidth="1"/>
    <x:col min="4" max="4" width="18" hidden="0" customWidth="1"/>
    <x:col min="5" max="5" width="38" hidden="0" customWidth="1"/>
    <x:col min="6" max="6" width="34" hidden="0" customWidth="1"/>
    <x:col min="7" max="7" width="40" hidden="0" customWidth="1"/>
    <x:col min="8" max="8" width="22" hidden="0" customWidth="1"/>
    <x:col min="9" max="9" width="22" hidden="0" customWidth="1"/>
    <x:col min="10" max="10" width="22" hidden="0" customWidth="1"/>
    <x:col min="11" max="11" width="18" hidden="0" customWidth="1"/>
    <x:col min="12" max="12" width="14" hidden="0" customWidth="1"/>
    <x:col min="13" max="13" width="14" hidden="0" customWidth="1"/>
    <x:col min="14" max="14" width="16" hidden="0" customWidth="1"/>
    <x:col min="15" max="15" width="15" hidden="0" customWidth="1"/>
    <x:col min="16" max="16" width="30" hidden="0" customWidth="1"/>
    <x:col min="17" max="17" width="36" hidden="0" customWidth="1"/>
    <x:col min="18" max="18" width="24" hidden="0" customWidth="1"/>
    <x:col min="19" max="19" width="16" hidden="0" customWidth="1"/>
  </x:cols>
  <x:sheetData>
    <x:row r="1" ht="34" customHeight="1">
      <x:c r="A1" s="6" t="str">
        <x:v>Policy &amp; Control Exception Register</x:v>
      </x:c>
      <x:c r="B1" s="6"/>
      <x:c r="C1" s="6"/>
      <x:c r="D1" s="6"/>
      <x:c r="E1" s="6"/>
      <x:c r="F1" s="6"/>
      <x:c r="G1" s="6"/>
      <x:c r="H1" s="6"/>
      <x:c r="I1" s="6"/>
      <x:c r="J1" s="6"/>
      <x:c r="K1" s="6"/>
      <x:c r="L1" s="6"/>
      <x:c r="M1" s="6"/>
      <x:c r="N1" s="6"/>
      <x:c r="O1" s="6"/>
      <x:c r="P1" s="6"/>
      <x:c r="Q1" s="6"/>
      <x:c r="R1" s="6"/>
      <x:c r="S1" s="6"/>
    </x:row>
    <x:row r="2" ht="34" customHeight="1">
      <x:c r="A2" s="12" t="str">
        <x:v>Use only for explicit policy/control deviations discovered through applicable evidence or selected architecture scenarios. An excluded architecture lens cannot create an exception.</x:v>
      </x:c>
      <x:c r="B2" s="12"/>
      <x:c r="C2" s="12"/>
      <x:c r="D2" s="12"/>
      <x:c r="E2" s="12"/>
      <x:c r="F2" s="12"/>
      <x:c r="G2" s="12"/>
      <x:c r="H2" s="12"/>
      <x:c r="I2" s="12"/>
      <x:c r="J2" s="12"/>
      <x:c r="K2" s="12"/>
      <x:c r="L2" s="12"/>
      <x:c r="M2" s="12"/>
      <x:c r="N2" s="12"/>
      <x:c r="O2" s="12"/>
      <x:c r="P2" s="12"/>
      <x:c r="Q2" s="12"/>
      <x:c r="R2" s="12"/>
      <x:c r="S2" s="12"/>
    </x:row>
    <x:row r="3">
      <x:c r="A3" s="2"/>
      <x:c r="B3" s="2"/>
      <x:c r="C3" s="2"/>
      <x:c r="D3" s="2"/>
      <x:c r="E3" s="2"/>
      <x:c r="F3" s="2"/>
      <x:c r="G3" s="2"/>
      <x:c r="H3" s="2"/>
      <x:c r="I3" s="2"/>
      <x:c r="J3" s="2"/>
      <x:c r="K3" s="2"/>
      <x:c r="L3" s="2"/>
      <x:c r="M3" s="2"/>
      <x:c r="N3" s="2"/>
      <x:c r="O3" s="2"/>
      <x:c r="P3" s="2"/>
      <x:c r="Q3" s="2"/>
      <x:c r="R3" s="2"/>
      <x:c r="S3" s="2"/>
    </x:row>
    <x:row r="4">
      <x:c r="A4" s="2"/>
      <x:c r="B4" s="2"/>
      <x:c r="C4" s="2"/>
      <x:c r="D4" s="2"/>
      <x:c r="E4" s="2"/>
      <x:c r="F4" s="2"/>
      <x:c r="G4" s="2"/>
      <x:c r="H4" s="2"/>
      <x:c r="I4" s="2"/>
      <x:c r="J4" s="2"/>
      <x:c r="K4" s="2"/>
      <x:c r="L4" s="2"/>
      <x:c r="M4" s="2"/>
      <x:c r="N4" s="2"/>
      <x:c r="O4" s="2"/>
      <x:c r="P4" s="2"/>
      <x:c r="Q4" s="2"/>
      <x:c r="R4" s="2"/>
      <x:c r="S4" s="2"/>
    </x:row>
    <x:row r="5">
      <x:c r="A5" s="93" t="str">
        <x:v>Exception ID</x:v>
      </x:c>
      <x:c r="B5" s="93" t="str">
        <x:v>Source Scenario ID</x:v>
      </x:c>
      <x:c r="C5" s="93" t="str">
        <x:v>Architecture Lens</x:v>
      </x:c>
      <x:c r="D5" s="93" t="str">
        <x:v>Policy / Control ID</x:v>
      </x:c>
      <x:c r="E5" s="93" t="str">
        <x:v>Unmet Requirement / Deviation</x:v>
      </x:c>
      <x:c r="F5" s="93" t="str">
        <x:v>Impact</x:v>
      </x:c>
      <x:c r="G5" s="93" t="str">
        <x:v>Compensating Controls</x:v>
      </x:c>
      <x:c r="H5" s="93" t="str">
        <x:v>Exception Owner</x:v>
      </x:c>
      <x:c r="I5" s="93" t="str">
        <x:v>Business Owner</x:v>
      </x:c>
      <x:c r="J5" s="93" t="str">
        <x:v>Approval Authority</x:v>
      </x:c>
      <x:c r="K5" s="93" t="str">
        <x:v>Approval Status</x:v>
      </x:c>
      <x:c r="L5" s="93" t="str">
        <x:v>Requested Date</x:v>
      </x:c>
      <x:c r="M5" s="93" t="str">
        <x:v>Approval Date</x:v>
      </x:c>
      <x:c r="N5" s="93" t="str">
        <x:v>Review / Expiration Date</x:v>
      </x:c>
      <x:c r="O5" s="93" t="str">
        <x:v>Residual Risk</x:v>
      </x:c>
      <x:c r="P5" s="93" t="str">
        <x:v>Dependencies</x:v>
      </x:c>
      <x:c r="Q5" s="93" t="str">
        <x:v>Closure Criteria</x:v>
      </x:c>
      <x:c r="R5" s="93" t="str">
        <x:v>Related Risk / DD IDs</x:v>
      </x:c>
      <x:c r="S5" s="93" t="str">
        <x:v>Review Health</x:v>
      </x:c>
    </x:row>
    <x:row r="6" ht="56" customHeight="1">
      <x:c r="A6" s="98" t="str">
        <x:v>EX-001</x:v>
      </x:c>
      <x:c r="B6" s="98" t="str"/>
      <x:c r="C6" s="98" t="str"/>
      <x:c r="D6" s="98" t="str"/>
      <x:c r="E6" s="98" t="str"/>
      <x:c r="F6" s="98" t="str"/>
      <x:c r="G6" s="98" t="str"/>
      <x:c r="H6" s="98" t="str"/>
      <x:c r="I6" s="98" t="str"/>
      <x:c r="J6" s="98" t="str"/>
      <x:c r="K6" s="98" t="str"/>
      <x:c r="L6" s="190" t="str"/>
      <x:c r="M6" s="190" t="str"/>
      <x:c r="N6" s="190" t="str"/>
      <x:c r="O6" s="98" t="str"/>
      <x:c r="P6" s="98" t="str"/>
      <x:c r="Q6" s="98" t="str"/>
      <x:c r="R6" s="98" t="str"/>
      <x:c r="S6" s="178" t="str">
        <x:f>IF(N6="","",IF(OR(K6="Closed",K6="Rejected"),K6,IF(N6&lt;TODAY(),"Expired",IF(N6&lt;=TODAY()+30,"Due ≤30 days","Current"))))</x:f>
      </x:c>
    </x:row>
    <x:row r="7" ht="56" customHeight="1">
      <x:c r="A7" s="179" t="str">
        <x:v>EX-002</x:v>
      </x:c>
      <x:c r="B7" s="179" t="str"/>
      <x:c r="C7" s="179" t="str"/>
      <x:c r="D7" s="179" t="str"/>
      <x:c r="E7" s="179" t="str"/>
      <x:c r="F7" s="179" t="str"/>
      <x:c r="G7" s="179" t="str"/>
      <x:c r="H7" s="179" t="str"/>
      <x:c r="I7" s="179" t="str"/>
      <x:c r="J7" s="179" t="str"/>
      <x:c r="K7" s="179" t="str"/>
      <x:c r="L7" s="191" t="str"/>
      <x:c r="M7" s="191" t="str"/>
      <x:c r="N7" s="191" t="str"/>
      <x:c r="O7" s="179" t="str"/>
      <x:c r="P7" s="179" t="str"/>
      <x:c r="Q7" s="179" t="str"/>
      <x:c r="R7" s="179" t="str"/>
      <x:c r="S7" s="63" t="str">
        <x:f>IF(N7="","",IF(OR(K7="Closed",K7="Rejected"),K7,IF(N7&lt;TODAY(),"Expired",IF(N7&lt;=TODAY()+30,"Due ≤30 days","Current"))))</x:f>
      </x:c>
    </x:row>
    <x:row r="8" ht="56" customHeight="1">
      <x:c r="A8" s="179" t="str">
        <x:v>EX-003</x:v>
      </x:c>
      <x:c r="B8" s="179" t="str"/>
      <x:c r="C8" s="179" t="str"/>
      <x:c r="D8" s="179" t="str"/>
      <x:c r="E8" s="179" t="str"/>
      <x:c r="F8" s="179" t="str"/>
      <x:c r="G8" s="179" t="str"/>
      <x:c r="H8" s="179" t="str"/>
      <x:c r="I8" s="179" t="str"/>
      <x:c r="J8" s="179" t="str"/>
      <x:c r="K8" s="179" t="str"/>
      <x:c r="L8" s="191" t="str"/>
      <x:c r="M8" s="191" t="str"/>
      <x:c r="N8" s="191" t="str"/>
      <x:c r="O8" s="179" t="str"/>
      <x:c r="P8" s="179" t="str"/>
      <x:c r="Q8" s="179" t="str"/>
      <x:c r="R8" s="179" t="str"/>
      <x:c r="S8" s="63" t="str">
        <x:f>IF(N8="","",IF(OR(K8="Closed",K8="Rejected"),K8,IF(N8&lt;TODAY(),"Expired",IF(N8&lt;=TODAY()+30,"Due ≤30 days","Current"))))</x:f>
      </x:c>
    </x:row>
    <x:row r="9" ht="56" customHeight="1">
      <x:c r="A9" s="179" t="str">
        <x:v>EX-004</x:v>
      </x:c>
      <x:c r="B9" s="179" t="str"/>
      <x:c r="C9" s="179" t="str"/>
      <x:c r="D9" s="179" t="str"/>
      <x:c r="E9" s="179" t="str"/>
      <x:c r="F9" s="179" t="str"/>
      <x:c r="G9" s="179" t="str"/>
      <x:c r="H9" s="179" t="str"/>
      <x:c r="I9" s="179" t="str"/>
      <x:c r="J9" s="179" t="str"/>
      <x:c r="K9" s="179" t="str"/>
      <x:c r="L9" s="191" t="str"/>
      <x:c r="M9" s="191" t="str"/>
      <x:c r="N9" s="191" t="str"/>
      <x:c r="O9" s="179" t="str"/>
      <x:c r="P9" s="179" t="str"/>
      <x:c r="Q9" s="179" t="str"/>
      <x:c r="R9" s="179" t="str"/>
      <x:c r="S9" s="63" t="str">
        <x:f>IF(N9="","",IF(OR(K9="Closed",K9="Rejected"),K9,IF(N9&lt;TODAY(),"Expired",IF(N9&lt;=TODAY()+30,"Due ≤30 days","Current"))))</x:f>
      </x:c>
    </x:row>
    <x:row r="10" ht="56" customHeight="1">
      <x:c r="A10" s="179" t="str">
        <x:v>EX-005</x:v>
      </x:c>
      <x:c r="B10" s="179" t="str"/>
      <x:c r="C10" s="179" t="str"/>
      <x:c r="D10" s="179" t="str"/>
      <x:c r="E10" s="179" t="str"/>
      <x:c r="F10" s="179" t="str"/>
      <x:c r="G10" s="179" t="str"/>
      <x:c r="H10" s="179" t="str"/>
      <x:c r="I10" s="179" t="str"/>
      <x:c r="J10" s="179" t="str"/>
      <x:c r="K10" s="179" t="str"/>
      <x:c r="L10" s="191" t="str"/>
      <x:c r="M10" s="191" t="str"/>
      <x:c r="N10" s="191" t="str"/>
      <x:c r="O10" s="179" t="str"/>
      <x:c r="P10" s="179" t="str"/>
      <x:c r="Q10" s="179" t="str"/>
      <x:c r="R10" s="179" t="str"/>
      <x:c r="S10" s="63" t="str">
        <x:f>IF(N10="","",IF(OR(K10="Closed",K10="Rejected"),K10,IF(N10&lt;TODAY(),"Expired",IF(N10&lt;=TODAY()+30,"Due ≤30 days","Current"))))</x:f>
      </x:c>
    </x:row>
    <x:row r="11" ht="56" customHeight="1">
      <x:c r="A11" s="179" t="str">
        <x:v>EX-006</x:v>
      </x:c>
      <x:c r="B11" s="179" t="str"/>
      <x:c r="C11" s="179" t="str"/>
      <x:c r="D11" s="179" t="str"/>
      <x:c r="E11" s="179" t="str"/>
      <x:c r="F11" s="179" t="str"/>
      <x:c r="G11" s="179" t="str"/>
      <x:c r="H11" s="179" t="str"/>
      <x:c r="I11" s="179" t="str"/>
      <x:c r="J11" s="179" t="str"/>
      <x:c r="K11" s="179" t="str"/>
      <x:c r="L11" s="191" t="str"/>
      <x:c r="M11" s="191" t="str"/>
      <x:c r="N11" s="191" t="str"/>
      <x:c r="O11" s="179" t="str"/>
      <x:c r="P11" s="179" t="str"/>
      <x:c r="Q11" s="179" t="str"/>
      <x:c r="R11" s="179" t="str"/>
      <x:c r="S11" s="63" t="str">
        <x:f>IF(N11="","",IF(OR(K11="Closed",K11="Rejected"),K11,IF(N11&lt;TODAY(),"Expired",IF(N11&lt;=TODAY()+30,"Due ≤30 days","Current"))))</x:f>
      </x:c>
    </x:row>
    <x:row r="12" ht="56" customHeight="1">
      <x:c r="A12" s="179" t="str">
        <x:v>EX-007</x:v>
      </x:c>
      <x:c r="B12" s="179" t="str"/>
      <x:c r="C12" s="179" t="str"/>
      <x:c r="D12" s="179" t="str"/>
      <x:c r="E12" s="179" t="str"/>
      <x:c r="F12" s="179" t="str"/>
      <x:c r="G12" s="179" t="str"/>
      <x:c r="H12" s="179" t="str"/>
      <x:c r="I12" s="179" t="str"/>
      <x:c r="J12" s="179" t="str"/>
      <x:c r="K12" s="179" t="str"/>
      <x:c r="L12" s="191" t="str"/>
      <x:c r="M12" s="191" t="str"/>
      <x:c r="N12" s="191" t="str"/>
      <x:c r="O12" s="179" t="str"/>
      <x:c r="P12" s="179" t="str"/>
      <x:c r="Q12" s="179" t="str"/>
      <x:c r="R12" s="179" t="str"/>
      <x:c r="S12" s="63" t="str">
        <x:f>IF(N12="","",IF(OR(K12="Closed",K12="Rejected"),K12,IF(N12&lt;TODAY(),"Expired",IF(N12&lt;=TODAY()+30,"Due ≤30 days","Current"))))</x:f>
      </x:c>
    </x:row>
    <x:row r="13" ht="56" customHeight="1">
      <x:c r="A13" s="179" t="str">
        <x:v>EX-008</x:v>
      </x:c>
      <x:c r="B13" s="179" t="str"/>
      <x:c r="C13" s="179" t="str"/>
      <x:c r="D13" s="179" t="str"/>
      <x:c r="E13" s="179" t="str"/>
      <x:c r="F13" s="179" t="str"/>
      <x:c r="G13" s="179" t="str"/>
      <x:c r="H13" s="179" t="str"/>
      <x:c r="I13" s="179" t="str"/>
      <x:c r="J13" s="179" t="str"/>
      <x:c r="K13" s="179" t="str"/>
      <x:c r="L13" s="191" t="str"/>
      <x:c r="M13" s="191" t="str"/>
      <x:c r="N13" s="191" t="str"/>
      <x:c r="O13" s="179" t="str"/>
      <x:c r="P13" s="179" t="str"/>
      <x:c r="Q13" s="179" t="str"/>
      <x:c r="R13" s="179" t="str"/>
      <x:c r="S13" s="63" t="str">
        <x:f>IF(N13="","",IF(OR(K13="Closed",K13="Rejected"),K13,IF(N13&lt;TODAY(),"Expired",IF(N13&lt;=TODAY()+30,"Due ≤30 days","Current"))))</x:f>
      </x:c>
    </x:row>
    <x:row r="14" ht="56" customHeight="1">
      <x:c r="A14" s="179" t="str">
        <x:v>EX-009</x:v>
      </x:c>
      <x:c r="B14" s="179" t="str"/>
      <x:c r="C14" s="179" t="str"/>
      <x:c r="D14" s="179" t="str"/>
      <x:c r="E14" s="179" t="str"/>
      <x:c r="F14" s="179" t="str"/>
      <x:c r="G14" s="179" t="str"/>
      <x:c r="H14" s="179" t="str"/>
      <x:c r="I14" s="179" t="str"/>
      <x:c r="J14" s="179" t="str"/>
      <x:c r="K14" s="179" t="str"/>
      <x:c r="L14" s="191" t="str"/>
      <x:c r="M14" s="191" t="str"/>
      <x:c r="N14" s="191" t="str"/>
      <x:c r="O14" s="179" t="str"/>
      <x:c r="P14" s="179" t="str"/>
      <x:c r="Q14" s="179" t="str"/>
      <x:c r="R14" s="179" t="str"/>
      <x:c r="S14" s="63" t="str">
        <x:f>IF(N14="","",IF(OR(K14="Closed",K14="Rejected"),K14,IF(N14&lt;TODAY(),"Expired",IF(N14&lt;=TODAY()+30,"Due ≤30 days","Current"))))</x:f>
      </x:c>
    </x:row>
    <x:row r="15" ht="56" customHeight="1">
      <x:c r="A15" s="179" t="str">
        <x:v>EX-010</x:v>
      </x:c>
      <x:c r="B15" s="179" t="str"/>
      <x:c r="C15" s="179" t="str"/>
      <x:c r="D15" s="179" t="str"/>
      <x:c r="E15" s="179" t="str"/>
      <x:c r="F15" s="179" t="str"/>
      <x:c r="G15" s="179" t="str"/>
      <x:c r="H15" s="179" t="str"/>
      <x:c r="I15" s="179" t="str"/>
      <x:c r="J15" s="179" t="str"/>
      <x:c r="K15" s="179" t="str"/>
      <x:c r="L15" s="191" t="str"/>
      <x:c r="M15" s="191" t="str"/>
      <x:c r="N15" s="191" t="str"/>
      <x:c r="O15" s="179" t="str"/>
      <x:c r="P15" s="179" t="str"/>
      <x:c r="Q15" s="179" t="str"/>
      <x:c r="R15" s="179" t="str"/>
      <x:c r="S15" s="63" t="str">
        <x:f>IF(N15="","",IF(OR(K15="Closed",K15="Rejected"),K15,IF(N15&lt;TODAY(),"Expired",IF(N15&lt;=TODAY()+30,"Due ≤30 days","Current"))))</x:f>
      </x:c>
    </x:row>
    <x:row r="16" ht="56" customHeight="1">
      <x:c r="A16" s="179" t="str">
        <x:v>EX-011</x:v>
      </x:c>
      <x:c r="B16" s="179" t="str"/>
      <x:c r="C16" s="179" t="str"/>
      <x:c r="D16" s="179" t="str"/>
      <x:c r="E16" s="179" t="str"/>
      <x:c r="F16" s="179" t="str"/>
      <x:c r="G16" s="179" t="str"/>
      <x:c r="H16" s="179" t="str"/>
      <x:c r="I16" s="179" t="str"/>
      <x:c r="J16" s="179" t="str"/>
      <x:c r="K16" s="179" t="str"/>
      <x:c r="L16" s="191" t="str"/>
      <x:c r="M16" s="191" t="str"/>
      <x:c r="N16" s="191" t="str"/>
      <x:c r="O16" s="179" t="str"/>
      <x:c r="P16" s="179" t="str"/>
      <x:c r="Q16" s="179" t="str"/>
      <x:c r="R16" s="179" t="str"/>
      <x:c r="S16" s="63" t="str">
        <x:f>IF(N16="","",IF(OR(K16="Closed",K16="Rejected"),K16,IF(N16&lt;TODAY(),"Expired",IF(N16&lt;=TODAY()+30,"Due ≤30 days","Current"))))</x:f>
      </x:c>
    </x:row>
    <x:row r="17" ht="56" customHeight="1">
      <x:c r="A17" s="179" t="str">
        <x:v>EX-012</x:v>
      </x:c>
      <x:c r="B17" s="179" t="str"/>
      <x:c r="C17" s="179" t="str"/>
      <x:c r="D17" s="179" t="str"/>
      <x:c r="E17" s="179" t="str"/>
      <x:c r="F17" s="179" t="str"/>
      <x:c r="G17" s="179" t="str"/>
      <x:c r="H17" s="179" t="str"/>
      <x:c r="I17" s="179" t="str"/>
      <x:c r="J17" s="179" t="str"/>
      <x:c r="K17" s="179" t="str"/>
      <x:c r="L17" s="191" t="str"/>
      <x:c r="M17" s="191" t="str"/>
      <x:c r="N17" s="191" t="str"/>
      <x:c r="O17" s="179" t="str"/>
      <x:c r="P17" s="179" t="str"/>
      <x:c r="Q17" s="179" t="str"/>
      <x:c r="R17" s="179" t="str"/>
      <x:c r="S17" s="63" t="str">
        <x:f>IF(N17="","",IF(OR(K17="Closed",K17="Rejected"),K17,IF(N17&lt;TODAY(),"Expired",IF(N17&lt;=TODAY()+30,"Due ≤30 days","Current"))))</x:f>
      </x:c>
    </x:row>
    <x:row r="18" ht="56" customHeight="1">
      <x:c r="A18" s="179" t="str">
        <x:v>EX-013</x:v>
      </x:c>
      <x:c r="B18" s="179" t="str"/>
      <x:c r="C18" s="179" t="str"/>
      <x:c r="D18" s="179" t="str"/>
      <x:c r="E18" s="179" t="str"/>
      <x:c r="F18" s="179" t="str"/>
      <x:c r="G18" s="179" t="str"/>
      <x:c r="H18" s="179" t="str"/>
      <x:c r="I18" s="179" t="str"/>
      <x:c r="J18" s="179" t="str"/>
      <x:c r="K18" s="179" t="str"/>
      <x:c r="L18" s="191" t="str"/>
      <x:c r="M18" s="191" t="str"/>
      <x:c r="N18" s="191" t="str"/>
      <x:c r="O18" s="179" t="str"/>
      <x:c r="P18" s="179" t="str"/>
      <x:c r="Q18" s="179" t="str"/>
      <x:c r="R18" s="179" t="str"/>
      <x:c r="S18" s="63" t="str">
        <x:f>IF(N18="","",IF(OR(K18="Closed",K18="Rejected"),K18,IF(N18&lt;TODAY(),"Expired",IF(N18&lt;=TODAY()+30,"Due ≤30 days","Current"))))</x:f>
      </x:c>
    </x:row>
    <x:row r="19" ht="56" customHeight="1">
      <x:c r="A19" s="179" t="str">
        <x:v>EX-014</x:v>
      </x:c>
      <x:c r="B19" s="179" t="str"/>
      <x:c r="C19" s="179" t="str"/>
      <x:c r="D19" s="179" t="str"/>
      <x:c r="E19" s="179" t="str"/>
      <x:c r="F19" s="179" t="str"/>
      <x:c r="G19" s="179" t="str"/>
      <x:c r="H19" s="179" t="str"/>
      <x:c r="I19" s="179" t="str"/>
      <x:c r="J19" s="179" t="str"/>
      <x:c r="K19" s="179" t="str"/>
      <x:c r="L19" s="191" t="str"/>
      <x:c r="M19" s="191" t="str"/>
      <x:c r="N19" s="191" t="str"/>
      <x:c r="O19" s="179" t="str"/>
      <x:c r="P19" s="179" t="str"/>
      <x:c r="Q19" s="179" t="str"/>
      <x:c r="R19" s="179" t="str"/>
      <x:c r="S19" s="63" t="str">
        <x:f>IF(N19="","",IF(OR(K19="Closed",K19="Rejected"),K19,IF(N19&lt;TODAY(),"Expired",IF(N19&lt;=TODAY()+30,"Due ≤30 days","Current"))))</x:f>
      </x:c>
    </x:row>
    <x:row r="20" ht="56" customHeight="1">
      <x:c r="A20" s="179" t="str">
        <x:v>EX-015</x:v>
      </x:c>
      <x:c r="B20" s="179" t="str"/>
      <x:c r="C20" s="179" t="str"/>
      <x:c r="D20" s="179" t="str"/>
      <x:c r="E20" s="179" t="str"/>
      <x:c r="F20" s="179" t="str"/>
      <x:c r="G20" s="179" t="str"/>
      <x:c r="H20" s="179" t="str"/>
      <x:c r="I20" s="179" t="str"/>
      <x:c r="J20" s="179" t="str"/>
      <x:c r="K20" s="179" t="str"/>
      <x:c r="L20" s="191" t="str"/>
      <x:c r="M20" s="191" t="str"/>
      <x:c r="N20" s="191" t="str"/>
      <x:c r="O20" s="179" t="str"/>
      <x:c r="P20" s="179" t="str"/>
      <x:c r="Q20" s="179" t="str"/>
      <x:c r="R20" s="179" t="str"/>
      <x:c r="S20" s="63" t="str">
        <x:f>IF(N20="","",IF(OR(K20="Closed",K20="Rejected"),K20,IF(N20&lt;TODAY(),"Expired",IF(N20&lt;=TODAY()+30,"Due ≤30 days","Current"))))</x:f>
      </x:c>
    </x:row>
    <x:row r="21" ht="56" customHeight="1">
      <x:c r="A21" s="179" t="str">
        <x:v>EX-016</x:v>
      </x:c>
      <x:c r="B21" s="179" t="str"/>
      <x:c r="C21" s="179" t="str"/>
      <x:c r="D21" s="179" t="str"/>
      <x:c r="E21" s="179" t="str"/>
      <x:c r="F21" s="179" t="str"/>
      <x:c r="G21" s="179" t="str"/>
      <x:c r="H21" s="179" t="str"/>
      <x:c r="I21" s="179" t="str"/>
      <x:c r="J21" s="179" t="str"/>
      <x:c r="K21" s="179" t="str"/>
      <x:c r="L21" s="191" t="str"/>
      <x:c r="M21" s="191" t="str"/>
      <x:c r="N21" s="191" t="str"/>
      <x:c r="O21" s="179" t="str"/>
      <x:c r="P21" s="179" t="str"/>
      <x:c r="Q21" s="179" t="str"/>
      <x:c r="R21" s="179" t="str"/>
      <x:c r="S21" s="63" t="str">
        <x:f>IF(N21="","",IF(OR(K21="Closed",K21="Rejected"),K21,IF(N21&lt;TODAY(),"Expired",IF(N21&lt;=TODAY()+30,"Due ≤30 days","Current"))))</x:f>
      </x:c>
    </x:row>
    <x:row r="22" ht="56" customHeight="1">
      <x:c r="A22" s="179" t="str">
        <x:v>EX-017</x:v>
      </x:c>
      <x:c r="B22" s="179" t="str"/>
      <x:c r="C22" s="179" t="str"/>
      <x:c r="D22" s="179" t="str"/>
      <x:c r="E22" s="179" t="str"/>
      <x:c r="F22" s="179" t="str"/>
      <x:c r="G22" s="179" t="str"/>
      <x:c r="H22" s="179" t="str"/>
      <x:c r="I22" s="179" t="str"/>
      <x:c r="J22" s="179" t="str"/>
      <x:c r="K22" s="179" t="str"/>
      <x:c r="L22" s="191" t="str"/>
      <x:c r="M22" s="191" t="str"/>
      <x:c r="N22" s="191" t="str"/>
      <x:c r="O22" s="179" t="str"/>
      <x:c r="P22" s="179" t="str"/>
      <x:c r="Q22" s="179" t="str"/>
      <x:c r="R22" s="179" t="str"/>
      <x:c r="S22" s="63" t="str">
        <x:f>IF(N22="","",IF(OR(K22="Closed",K22="Rejected"),K22,IF(N22&lt;TODAY(),"Expired",IF(N22&lt;=TODAY()+30,"Due ≤30 days","Current"))))</x:f>
      </x:c>
    </x:row>
    <x:row r="23" ht="56" customHeight="1">
      <x:c r="A23" s="179" t="str">
        <x:v>EX-018</x:v>
      </x:c>
      <x:c r="B23" s="179" t="str"/>
      <x:c r="C23" s="179" t="str"/>
      <x:c r="D23" s="179" t="str"/>
      <x:c r="E23" s="179" t="str"/>
      <x:c r="F23" s="179" t="str"/>
      <x:c r="G23" s="179" t="str"/>
      <x:c r="H23" s="179" t="str"/>
      <x:c r="I23" s="179" t="str"/>
      <x:c r="J23" s="179" t="str"/>
      <x:c r="K23" s="179" t="str"/>
      <x:c r="L23" s="191" t="str"/>
      <x:c r="M23" s="191" t="str"/>
      <x:c r="N23" s="191" t="str"/>
      <x:c r="O23" s="179" t="str"/>
      <x:c r="P23" s="179" t="str"/>
      <x:c r="Q23" s="179" t="str"/>
      <x:c r="R23" s="179" t="str"/>
      <x:c r="S23" s="63" t="str">
        <x:f>IF(N23="","",IF(OR(K23="Closed",K23="Rejected"),K23,IF(N23&lt;TODAY(),"Expired",IF(N23&lt;=TODAY()+30,"Due ≤30 days","Current"))))</x:f>
      </x:c>
    </x:row>
    <x:row r="24" ht="56" customHeight="1">
      <x:c r="A24" s="179" t="str">
        <x:v>EX-019</x:v>
      </x:c>
      <x:c r="B24" s="179" t="str"/>
      <x:c r="C24" s="179" t="str"/>
      <x:c r="D24" s="179" t="str"/>
      <x:c r="E24" s="179" t="str"/>
      <x:c r="F24" s="179" t="str"/>
      <x:c r="G24" s="179" t="str"/>
      <x:c r="H24" s="179" t="str"/>
      <x:c r="I24" s="179" t="str"/>
      <x:c r="J24" s="179" t="str"/>
      <x:c r="K24" s="179" t="str"/>
      <x:c r="L24" s="191" t="str"/>
      <x:c r="M24" s="191" t="str"/>
      <x:c r="N24" s="191" t="str"/>
      <x:c r="O24" s="179" t="str"/>
      <x:c r="P24" s="179" t="str"/>
      <x:c r="Q24" s="179" t="str"/>
      <x:c r="R24" s="179" t="str"/>
      <x:c r="S24" s="63" t="str">
        <x:f>IF(N24="","",IF(OR(K24="Closed",K24="Rejected"),K24,IF(N24&lt;TODAY(),"Expired",IF(N24&lt;=TODAY()+30,"Due ≤30 days","Current"))))</x:f>
      </x:c>
    </x:row>
    <x:row r="25" ht="56" customHeight="1">
      <x:c r="A25" s="179" t="str">
        <x:v>EX-020</x:v>
      </x:c>
      <x:c r="B25" s="179" t="str"/>
      <x:c r="C25" s="179" t="str"/>
      <x:c r="D25" s="179" t="str"/>
      <x:c r="E25" s="179" t="str"/>
      <x:c r="F25" s="179" t="str"/>
      <x:c r="G25" s="179" t="str"/>
      <x:c r="H25" s="179" t="str"/>
      <x:c r="I25" s="179" t="str"/>
      <x:c r="J25" s="179" t="str"/>
      <x:c r="K25" s="179" t="str"/>
      <x:c r="L25" s="191" t="str"/>
      <x:c r="M25" s="191" t="str"/>
      <x:c r="N25" s="191" t="str"/>
      <x:c r="O25" s="179" t="str"/>
      <x:c r="P25" s="179" t="str"/>
      <x:c r="Q25" s="179" t="str"/>
      <x:c r="R25" s="179" t="str"/>
      <x:c r="S25" s="63" t="str">
        <x:f>IF(N25="","",IF(OR(K25="Closed",K25="Rejected"),K25,IF(N25&lt;TODAY(),"Expired",IF(N25&lt;=TODAY()+30,"Due ≤30 days","Current"))))</x:f>
      </x:c>
    </x:row>
  </x:sheetData>
  <x:mergeCells>
    <x:mergeCell ref="A1:S1"/>
    <x:mergeCell ref="A2:S2"/>
  </x:mergeCells>
  <x:conditionalFormatting sqref="K6:K25">
    <x:cfRule type="containsText" dxfId="30" priority="1" operator="containsText" text="Approved"/>
    <x:cfRule type="containsText" dxfId="31" priority="2" operator="containsText" text="Pending Approval"/>
    <x:cfRule type="containsText" dxfId="32" priority="3" operator="containsText" text="Rejected"/>
  </x:conditionalFormatting>
  <x:conditionalFormatting sqref="S6:S25">
    <x:cfRule type="containsText" dxfId="33" priority="4" operator="containsText" text="Expired"/>
  </x:conditionalFormatting>
  <x:dataValidations count="2">
    <x:dataValidation type="list" sqref="K6:K25">
      <x:formula1>"Draft,Pending Approval,Approved,Rejected,Expired,Closed"</x:formula1>
    </x:dataValidation>
    <x:dataValidation type="list" sqref="O6:O25">
      <x:formula1>"TBD,Low,Moderate,High,Critical"</x:formula1>
    </x:dataValidation>
  </x:dataValidations>
  <x:pageMargins left="0.7" right="0.7" top="0.75" bottom="0.75" header="0.3" footer="0.3"/>
  <x:tableParts count="1">
    <x:tablePart xmlns:r="http://schemas.openxmlformats.org/officeDocument/2006/relationships" r:id="R7a5571f4e96a46f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23" hidden="0" customWidth="1"/>
    <x:col min="4" max="4" width="34" hidden="0" customWidth="1"/>
    <x:col min="5" max="5" width="23" hidden="0" customWidth="1"/>
    <x:col min="6" max="6" width="34" hidden="0" customWidth="1"/>
    <x:col min="7" max="7" width="3" hidden="0" customWidth="1"/>
    <x:col min="8" max="8" width="18" hidden="0" customWidth="1"/>
    <x:col min="9" max="9" width="13" hidden="0" customWidth="1"/>
    <x:col min="10" max="10" width="32" hidden="0" customWidth="1"/>
    <x:col min="11" max="11" width="10" hidden="0" customWidth="1"/>
    <x:col min="12" max="12" width="24" hidden="0" customWidth="1"/>
  </x:cols>
  <x:sheetData>
    <x:row r="1" ht="34" customHeight="1">
      <x:c r="A1" s="6" t="str">
        <x:v>Routing, Scoring &amp; Workbook Boundaries</x:v>
      </x:c>
      <x:c r="B1" s="6"/>
      <x:c r="C1" s="6"/>
      <x:c r="D1" s="6"/>
      <x:c r="E1" s="6"/>
      <x:c r="F1" s="6"/>
      <x:c r="G1" s="6"/>
      <x:c r="H1" s="6"/>
      <x:c r="I1" s="6"/>
      <x:c r="J1" s="6"/>
      <x:c r="K1" s="6"/>
      <x:c r="L1" s="6"/>
    </x:row>
    <x:row r="2" ht="34" customHeight="1">
      <x:c r="A2" s="12" t="str">
        <x:v>Use routing before scoring. Excluded questions are not deficiencies; selected questions without enough evidence remain pending unless the missing decision/evidence itself creates material exposure.</x:v>
      </x:c>
      <x:c r="B2" s="12"/>
      <x:c r="C2" s="12"/>
      <x:c r="D2" s="12"/>
      <x:c r="E2" s="12"/>
      <x:c r="F2" s="12"/>
      <x:c r="G2" s="12"/>
      <x:c r="H2" s="12"/>
      <x:c r="I2" s="12"/>
      <x:c r="J2" s="12"/>
      <x:c r="K2" s="12"/>
      <x:c r="L2" s="12"/>
    </x:row>
    <x:row r="3">
      <x:c r="A3" s="2"/>
      <x:c r="B3" s="2"/>
      <x:c r="C3" s="2"/>
      <x:c r="D3" s="2"/>
      <x:c r="E3" s="2"/>
      <x:c r="F3" s="2"/>
      <x:c r="G3" s="2"/>
      <x:c r="H3" s="93" t="str">
        <x:v>Risk Level</x:v>
      </x:c>
      <x:c r="I3" s="93" t="str">
        <x:v>Minimum Score</x:v>
      </x:c>
      <x:c r="J3" s="93" t="str">
        <x:v>Interpretation</x:v>
      </x:c>
      <x:c r="K3" s="2"/>
      <x:c r="L3" s="2"/>
    </x:row>
    <x:row r="4">
      <x:c r="A4" s="93" t="str">
        <x:v>Decision</x:v>
      </x:c>
      <x:c r="B4" s="93" t="str">
        <x:v>Use When</x:v>
      </x:c>
      <x:c r="C4" s="93" t="str">
        <x:v>Meaning</x:v>
      </x:c>
      <x:c r="D4" s="93" t="str">
        <x:v>Risk Register Row?</x:v>
      </x:c>
      <x:c r="E4" s="93" t="str">
        <x:v>Required Rationale</x:v>
      </x:c>
      <x:c r="F4" s="93" t="str">
        <x:v>Common Error</x:v>
      </x:c>
      <x:c r="G4" s="2"/>
      <x:c r="H4" s="195" t="str">
        <x:v>Low</x:v>
      </x:c>
      <x:c r="I4" s="195" t="n">
        <x:v>1</x:v>
      </x:c>
      <x:c r="J4" s="195" t="str">
        <x:v>Limited impact; routine ownership.</x:v>
      </x:c>
      <x:c r="K4" s="2"/>
      <x:c r="L4" s="2"/>
    </x:row>
    <x:row r="5" ht="58" customHeight="1">
      <x:c r="A5" s="96" t="str">
        <x:v>Selected</x:v>
      </x:c>
      <x:c r="B5" s="96" t="str">
        <x:v>Type matrix is R or a conditional trigger is evidenced</x:v>
      </x:c>
      <x:c r="C5" s="96" t="str">
        <x:v>Assess this scenario for the actual design</x:v>
      </x:c>
      <x:c r="D5" s="96" t="str">
        <x:v>Only if material Gap/Risk/Decision</x:v>
      </x:c>
      <x:c r="E5" s="96" t="str">
        <x:v>Detected type + trigger + source</x:v>
      </x:c>
      <x:c r="F5" s="96" t="str">
        <x:v>Selecting every question</x:v>
      </x:c>
      <x:c r="G5" s="2"/>
      <x:c r="H5" s="196" t="str">
        <x:v>Moderate</x:v>
      </x:c>
      <x:c r="I5" s="196" t="n">
        <x:v>5</x:v>
      </x:c>
      <x:c r="J5" s="196" t="str">
        <x:v>Meaningful exposure; track and treat.</x:v>
      </x:c>
      <x:c r="K5" s="2"/>
      <x:c r="L5" s="2"/>
    </x:row>
    <x:row r="6" ht="58" customHeight="1">
      <x:c r="A6" s="176" t="str">
        <x:v>Conditional – verify</x:v>
      </x:c>
      <x:c r="B6" s="176" t="str">
        <x:v>A missing fact could activate the scenario</x:v>
      </x:c>
      <x:c r="C6" s="176" t="str">
        <x:v>Resolve classification/evidence first</x:v>
      </x:c>
      <x:c r="D6" s="176" t="str">
        <x:v>No, unless the uncertainty is itself material</x:v>
      </x:c>
      <x:c r="E6" s="176" t="str">
        <x:v>Fact needed + owner/source</x:v>
      </x:c>
      <x:c r="F6" s="176" t="str">
        <x:v>Calling uncertainty a High risk automatically</x:v>
      </x:c>
      <x:c r="G6" s="2"/>
      <x:c r="H6" s="197" t="str">
        <x:v>High</x:v>
      </x:c>
      <x:c r="I6" s="197" t="n">
        <x:v>10</x:v>
      </x:c>
      <x:c r="J6" s="197" t="str">
        <x:v>Material clinical, operational, security, compliance or strategic exposure.</x:v>
      </x:c>
      <x:c r="K6" s="2"/>
      <x:c r="L6" s="2"/>
    </x:row>
    <x:row r="7" ht="58" customHeight="1">
      <x:c r="A7" s="176" t="str">
        <x:v>Excluded</x:v>
      </x:c>
      <x:c r="B7" s="176" t="str">
        <x:v>Matrix is — or exclusion criteria are met</x:v>
      </x:c>
      <x:c r="C7" s="176" t="str">
        <x:v>Scenario is outside this design</x:v>
      </x:c>
      <x:c r="D7" s="176" t="str">
        <x:v>No</x:v>
      </x:c>
      <x:c r="E7" s="176" t="str">
        <x:v>Concrete architecture reason</x:v>
      </x:c>
      <x:c r="F7" s="176" t="str">
        <x:v>Writing N/A rows in the Risk Register</x:v>
      </x:c>
      <x:c r="G7" s="2"/>
      <x:c r="H7" s="199" t="str">
        <x:v>Critical</x:v>
      </x:c>
      <x:c r="I7" s="199" t="n">
        <x:v>17</x:v>
      </x:c>
      <x:c r="J7" s="199" t="str">
        <x:v>Severe/enterprise exposure; executive decision before progression.</x:v>
      </x:c>
      <x:c r="K7" s="2"/>
      <x:c r="L7" s="2"/>
    </x:row>
    <x:row r="8" ht="58" customHeight="1">
      <x:c r="A8" s="176" t="str">
        <x:v>No Finding</x:v>
      </x:c>
      <x:c r="B8" s="176" t="str">
        <x:v>Selected scenario is adequately addressed</x:v>
      </x:c>
      <x:c r="C8" s="176" t="str">
        <x:v>Assessment trace remains in router</x:v>
      </x:c>
      <x:c r="D8" s="176" t="str">
        <x:v>Normally no</x:v>
      </x:c>
      <x:c r="E8" s="176" t="str">
        <x:v>Evidence supporting conclusion</x:v>
      </x:c>
      <x:c r="F8" s="176" t="str">
        <x:v>Filling the register with Pass rows</x:v>
      </x:c>
      <x:c r="G8" s="2"/>
      <x:c r="H8" s="2"/>
      <x:c r="I8" s="2"/>
      <x:c r="J8" s="2"/>
      <x:c r="K8" s="2"/>
      <x:c r="L8" s="2"/>
    </x:row>
    <x:row r="9" ht="58" customHeight="1">
      <x:c r="A9" s="176" t="str">
        <x:v>Pending Evidence</x:v>
      </x:c>
      <x:c r="B9" s="176" t="str">
        <x:v>Applicable scenario cannot yet be concluded</x:v>
      </x:c>
      <x:c r="C9" s="176" t="str">
        <x:v>Evidence request remains open</x:v>
      </x:c>
      <x:c r="D9" s="176" t="str">
        <x:v>Only when delay/uncertainty creates material exposure</x:v>
      </x:c>
      <x:c r="E9" s="176" t="str">
        <x:v>Missing evidence and next action</x:v>
      </x:c>
      <x:c r="F9" s="176" t="str">
        <x:v>Treating every missing document as a risk</x:v>
      </x:c>
      <x:c r="G9" s="2"/>
      <x:c r="H9" s="2"/>
      <x:c r="I9" s="2"/>
      <x:c r="J9" s="2"/>
      <x:c r="K9" s="2"/>
      <x:c r="L9" s="2"/>
    </x:row>
    <x:row r="10">
      <x:c r="A10" s="2"/>
      <x:c r="B10" s="2"/>
      <x:c r="C10" s="2"/>
      <x:c r="D10" s="2"/>
      <x:c r="E10" s="2"/>
      <x:c r="F10" s="2"/>
      <x:c r="G10" s="2"/>
      <x:c r="H10" s="93" t="str">
        <x:v>Likelihood</x:v>
      </x:c>
      <x:c r="I10" s="93" t="str">
        <x:v>Score</x:v>
      </x:c>
      <x:c r="J10" s="93" t="str">
        <x:v>Impact</x:v>
      </x:c>
      <x:c r="K10" s="93" t="str">
        <x:v>Score</x:v>
      </x:c>
      <x:c r="L10" s="93" t="str">
        <x:v>Material Finding Type</x:v>
      </x:c>
    </x:row>
    <x:row r="11">
      <x:c r="A11" s="2"/>
      <x:c r="B11" s="2"/>
      <x:c r="C11" s="2"/>
      <x:c r="D11" s="2"/>
      <x:c r="E11" s="2"/>
      <x:c r="F11" s="2"/>
      <x:c r="G11" s="2"/>
      <x:c r="H11" s="96" t="str">
        <x:v>Rare</x:v>
      </x:c>
      <x:c r="I11" s="96" t="n">
        <x:v>1</x:v>
      </x:c>
      <x:c r="J11" s="96" t="str">
        <x:v>Negligible</x:v>
      </x:c>
      <x:c r="K11" s="96" t="n">
        <x:v>1</x:v>
      </x:c>
      <x:c r="L11" s="96" t="str">
        <x:v>Gap</x:v>
      </x:c>
    </x:row>
    <x:row r="12">
      <x:c r="A12" s="31" t="str">
        <x:v>Risk-register materiality gate</x:v>
      </x:c>
      <x:c r="B12" s="31"/>
      <x:c r="C12" s="31"/>
      <x:c r="D12" s="31"/>
      <x:c r="E12" s="31"/>
      <x:c r="F12" s="31"/>
      <x:c r="G12" s="2"/>
      <x:c r="H12" s="176" t="str">
        <x:v>Unlikely</x:v>
      </x:c>
      <x:c r="I12" s="176" t="n">
        <x:v>2</x:v>
      </x:c>
      <x:c r="J12" s="176" t="str">
        <x:v>Minor</x:v>
      </x:c>
      <x:c r="K12" s="176" t="n">
        <x:v>2</x:v>
      </x:c>
      <x:c r="L12" s="176" t="str">
        <x:v>Risk</x:v>
      </x:c>
    </x:row>
    <x:row r="13" ht="62" customHeight="1">
      <x:c r="A13" s="96" t="str">
        <x:v>1. Applicable</x:v>
      </x:c>
      <x:c r="B13" s="96" t="str">
        <x:v>Scenario is selected for a detected type or evidenced trigger.</x:v>
      </x:c>
      <x:c r="C13" s="96" t="str">
        <x:v>2. Design-specific</x:v>
      </x:c>
      <x:c r="D13" s="96" t="str">
        <x:v>Finding explains the actual component, boundary, dependency or workflow.</x:v>
      </x:c>
      <x:c r="E13" s="96" t="str">
        <x:v>3. Credible consequence</x:v>
      </x:c>
      <x:c r="F13" s="96" t="str">
        <x:v>There is a plausible impact to a named objective.</x:v>
      </x:c>
      <x:c r="G13" s="2"/>
      <x:c r="H13" s="176" t="str">
        <x:v>Possible</x:v>
      </x:c>
      <x:c r="I13" s="176" t="n">
        <x:v>3</x:v>
      </x:c>
      <x:c r="J13" s="176" t="str">
        <x:v>Moderate</x:v>
      </x:c>
      <x:c r="K13" s="176" t="n">
        <x:v>3</x:v>
      </x:c>
      <x:c r="L13" s="176" t="str">
        <x:v>Decision Required</x:v>
      </x:c>
    </x:row>
    <x:row r="14" ht="62" customHeight="1">
      <x:c r="A14" s="176" t="str">
        <x:v>4. Actionable</x:v>
      </x:c>
      <x:c r="B14" s="176" t="str">
        <x:v>A decision, treatment or acceptance is required.</x:v>
      </x:c>
      <x:c r="C14" s="176" t="str">
        <x:v>5. Owned</x:v>
      </x:c>
      <x:c r="D14" s="176" t="str">
        <x:v>An accountable owner and decision/closure authority can be named.</x:v>
      </x:c>
      <x:c r="E14" s="176" t="str">
        <x:v>6. Traceable</x:v>
      </x:c>
      <x:c r="F14" s="176" t="str">
        <x:v>Source scenario and evidence IDs are linked.</x:v>
      </x:c>
      <x:c r="G14" s="2"/>
      <x:c r="H14" s="176" t="str">
        <x:v>Likely</x:v>
      </x:c>
      <x:c r="I14" s="176" t="n">
        <x:v>4</x:v>
      </x:c>
      <x:c r="J14" s="176" t="str">
        <x:v>Major</x:v>
      </x:c>
      <x:c r="K14" s="176" t="n">
        <x:v>4</x:v>
      </x:c>
      <x:c r="L14" s="176" t="str">
        <x:v>Accepted Risk</x:v>
      </x:c>
    </x:row>
    <x:row r="15" ht="62" customHeight="1">
      <x:c r="A15" s="176" t="str">
        <x:v>Do not create</x:v>
      </x:c>
      <x:c r="B15" s="176" t="str">
        <x:v>A copied DD/control question.</x:v>
      </x:c>
      <x:c r="C15" s="176" t="str">
        <x:v>Do not create</x:v>
      </x:c>
      <x:c r="D15" s="176" t="str">
        <x:v>A generic best-practice statement with no design condition.</x:v>
      </x:c>
      <x:c r="E15" s="176" t="str">
        <x:v>Do not create</x:v>
      </x:c>
      <x:c r="F15" s="176" t="str">
        <x:v>An N/A/excluded scenario.</x:v>
      </x:c>
      <x:c r="G15" s="2"/>
      <x:c r="H15" s="176" t="str">
        <x:v>Almost certain</x:v>
      </x:c>
      <x:c r="I15" s="176" t="n">
        <x:v>5</x:v>
      </x:c>
      <x:c r="J15" s="176" t="str">
        <x:v>Severe / clinical or regulatory</x:v>
      </x:c>
      <x:c r="K15" s="176" t="n">
        <x:v>5</x:v>
      </x:c>
      <x:c r="L15" s="176" t="str">
        <x:v>Closed</x:v>
      </x:c>
    </x:row>
    <x:row r="16" ht="62" customHeight="1">
      <x:c r="A16" s="176" t="str">
        <x:v>Do not create</x:v>
      </x:c>
      <x:c r="B16" s="176" t="str">
        <x:v>A missing document with no demonstrated material consequence.</x:v>
      </x:c>
      <x:c r="C16" s="176" t="str">
        <x:v>Use ADR</x:v>
      </x:c>
      <x:c r="D16" s="176" t="str">
        <x:v>A material choice among options/trade-offs.</x:v>
      </x:c>
      <x:c r="E16" s="176" t="str">
        <x:v>Use Exception</x:v>
      </x:c>
      <x:c r="F16" s="176" t="str">
        <x:v>A formal policy/control deviation needing approval.</x:v>
      </x:c>
      <x:c r="G16" s="2"/>
      <x:c r="H16" s="2"/>
      <x:c r="I16" s="2"/>
      <x:c r="J16" s="2"/>
      <x:c r="K16" s="2"/>
      <x:c r="L16" s="2"/>
    </x:row>
    <x:row r="17" ht="62" customHeight="1">
      <x:c r="A17" s="176" t="str">
        <x:v>Risk statement</x:v>
      </x:c>
      <x:c r="B17" s="176" t="str">
        <x:v>Because [design condition], when [trigger/dependency fails], [credible consequence], affecting [objective].</x:v>
      </x:c>
      <x:c r="C17" s="176" t="str">
        <x:v>Closure</x:v>
      </x:c>
      <x:c r="D17" s="176" t="str">
        <x:v>Observable evidence proves treatment/decision is implemented.</x:v>
      </x:c>
      <x:c r="E17" s="176" t="str">
        <x:v>Residual score</x:v>
      </x:c>
      <x:c r="F17" s="176" t="str">
        <x:v>Leave blank until closure evidence is implemented and verified.</x:v>
      </x:c>
      <x:c r="G17" s="2"/>
      <x:c r="H17" s="2"/>
      <x:c r="I17" s="2"/>
      <x:c r="J17" s="2"/>
      <x:c r="K17" s="2"/>
      <x:c r="L17" s="2"/>
    </x:row>
    <x:row r="18" ht="62" customHeight="1">
      <x:c r="A18" s="176" t="str">
        <x:v>Proportionality</x:v>
      </x:c>
      <x:c r="B18" s="176" t="str">
        <x:v>Single type usually 12–25 selected scenarios.</x:v>
      </x:c>
      <x:c r="C18" s="176" t="str">
        <x:v>Composite</x:v>
      </x:c>
      <x:c r="D18" s="176" t="str">
        <x:v>Usually 18–35 selected scenarios across multiple modules.</x:v>
      </x:c>
      <x:c r="E18" s="176" t="str">
        <x:v>&gt;40 selected</x:v>
      </x:c>
      <x:c r="F18" s="176" t="str">
        <x:v>Requires written scope/criticality justification.</x:v>
      </x:c>
      <x:c r="G18" s="2"/>
      <x:c r="H18" s="2"/>
      <x:c r="I18" s="2"/>
      <x:c r="J18" s="2"/>
      <x:c r="K18" s="2"/>
      <x:c r="L18" s="2"/>
    </x:row>
    <x:row r="19">
      <x:c r="A19" s="2"/>
      <x:c r="B19" s="2"/>
      <x:c r="C19" s="2"/>
      <x:c r="D19" s="2"/>
      <x:c r="E19" s="2"/>
      <x:c r="F19" s="2"/>
      <x:c r="G19" s="2"/>
      <x:c r="H19" s="2"/>
      <x:c r="I19" s="2"/>
      <x:c r="J19" s="2"/>
      <x:c r="K19" s="2"/>
      <x:c r="L19" s="2"/>
    </x:row>
    <x:row r="20">
      <x:c r="A20" s="2"/>
      <x:c r="B20" s="2"/>
      <x:c r="C20" s="2"/>
      <x:c r="D20" s="2"/>
      <x:c r="E20" s="2"/>
      <x:c r="F20" s="2"/>
      <x:c r="G20" s="2"/>
      <x:c r="H20" s="2"/>
      <x:c r="I20" s="2"/>
      <x:c r="J20" s="2"/>
      <x:c r="K20" s="2"/>
      <x:c r="L20" s="2"/>
    </x:row>
    <x:row r="21">
      <x:c r="A21" s="52" t="str">
        <x:v>Workbook boundary rule</x:v>
      </x:c>
      <x:c r="B21" s="52"/>
      <x:c r="C21" s="52"/>
      <x:c r="D21" s="52"/>
      <x:c r="E21" s="52"/>
      <x:c r="F21" s="52"/>
      <x:c r="G21" s="52"/>
      <x:c r="H21" s="52"/>
      <x:c r="I21" s="52"/>
      <x:c r="J21" s="52"/>
      <x:c r="K21" s="52"/>
      <x:c r="L21" s="52"/>
    </x:row>
    <x:row r="22">
      <x:c r="A22" s="217" t="str">
        <x:v>Due Diligence records vendor/control evidence. Solution Classification identifies the architecture types. Question Router records selected and excluded scenarios. Architecture Risk Register contains only material design findings. Architecture Decisions records choices. Exception Register records formal deviations. Technology Lifecycle contains only actual in-scope components.</x:v>
      </x:c>
      <x:c r="B22" s="218"/>
      <x:c r="C22" s="218"/>
      <x:c r="D22" s="218"/>
      <x:c r="E22" s="218"/>
      <x:c r="F22" s="218"/>
      <x:c r="G22" s="218"/>
      <x:c r="H22" s="218"/>
      <x:c r="I22" s="218"/>
      <x:c r="J22" s="218"/>
      <x:c r="K22" s="218"/>
      <x:c r="L22" s="219"/>
    </x:row>
    <x:row r="23">
      <x:c r="A23" s="220"/>
      <x:c r="B23" s="221"/>
      <x:c r="C23" s="221"/>
      <x:c r="D23" s="221"/>
      <x:c r="E23" s="221"/>
      <x:c r="F23" s="221"/>
      <x:c r="G23" s="221"/>
      <x:c r="H23" s="221"/>
      <x:c r="I23" s="221"/>
      <x:c r="J23" s="221"/>
      <x:c r="K23" s="221"/>
      <x:c r="L23" s="222"/>
    </x:row>
    <x:row r="24">
      <x:c r="A24" s="223"/>
      <x:c r="B24" s="224"/>
      <x:c r="C24" s="224"/>
      <x:c r="D24" s="224"/>
      <x:c r="E24" s="224"/>
      <x:c r="F24" s="224"/>
      <x:c r="G24" s="224"/>
      <x:c r="H24" s="224"/>
      <x:c r="I24" s="224"/>
      <x:c r="J24" s="224"/>
      <x:c r="K24" s="224"/>
      <x:c r="L24" s="225"/>
    </x:row>
    <x:row r="25">
      <x:c r="A25" s="2"/>
      <x:c r="B25" s="2"/>
      <x:c r="C25" s="2"/>
      <x:c r="D25" s="2"/>
      <x:c r="E25" s="2"/>
      <x:c r="F25" s="2"/>
      <x:c r="G25" s="2"/>
      <x:c r="H25" s="2"/>
      <x:c r="I25" s="2"/>
      <x:c r="J25" s="2"/>
      <x:c r="K25" s="2"/>
      <x:c r="L25" s="2"/>
    </x:row>
    <x:row r="26">
      <x:c r="A26" s="2"/>
      <x:c r="B26" s="2"/>
      <x:c r="C26" s="2"/>
      <x:c r="D26" s="2"/>
      <x:c r="E26" s="2"/>
      <x:c r="F26" s="2"/>
      <x:c r="G26" s="2"/>
      <x:c r="H26" s="2"/>
      <x:c r="I26" s="2"/>
      <x:c r="J26" s="2"/>
      <x:c r="K26" s="2"/>
      <x:c r="L26" s="2"/>
    </x:row>
    <x:row r="27">
      <x:c r="A27" s="31" t="str">
        <x:v>Scoring rule</x:v>
      </x:c>
      <x:c r="B27" s="31"/>
      <x:c r="C27" s="31"/>
      <x:c r="D27" s="31"/>
      <x:c r="E27" s="31"/>
      <x:c r="F27" s="31"/>
      <x:c r="G27" s="31"/>
      <x:c r="H27" s="31"/>
      <x:c r="I27" s="31"/>
      <x:c r="J27" s="31"/>
      <x:c r="K27" s="31"/>
      <x:c r="L27" s="31"/>
    </x:row>
    <x:row r="28">
      <x:c r="A28" s="243" t="str">
        <x:v>Inherent score = Likelihood × Impact before planned treatment. Residual score = Likelihood × Impact only after treatment is implemented and evidenced. Do not reduce a rating because a mitigation is planned, a roadmap exists or an overall reviewer recommendation is favorable.</x:v>
      </x:c>
      <x:c r="B28" s="244"/>
      <x:c r="C28" s="244"/>
      <x:c r="D28" s="244"/>
      <x:c r="E28" s="244"/>
      <x:c r="F28" s="244"/>
      <x:c r="G28" s="244"/>
      <x:c r="H28" s="244"/>
      <x:c r="I28" s="244"/>
      <x:c r="J28" s="244"/>
      <x:c r="K28" s="244"/>
      <x:c r="L28" s="245"/>
    </x:row>
    <x:row r="29">
      <x:c r="A29" s="246"/>
      <x:c r="B29" s="247"/>
      <x:c r="C29" s="247"/>
      <x:c r="D29" s="247"/>
      <x:c r="E29" s="247"/>
      <x:c r="F29" s="247"/>
      <x:c r="G29" s="247"/>
      <x:c r="H29" s="247"/>
      <x:c r="I29" s="247"/>
      <x:c r="J29" s="247"/>
      <x:c r="K29" s="247"/>
      <x:c r="L29" s="248"/>
    </x:row>
    <x:row r="30">
      <x:c r="A30" s="249"/>
      <x:c r="B30" s="250"/>
      <x:c r="C30" s="250"/>
      <x:c r="D30" s="250"/>
      <x:c r="E30" s="250"/>
      <x:c r="F30" s="250"/>
      <x:c r="G30" s="250"/>
      <x:c r="H30" s="250"/>
      <x:c r="I30" s="250"/>
      <x:c r="J30" s="250"/>
      <x:c r="K30" s="250"/>
      <x:c r="L30" s="251"/>
    </x:row>
    <x:row r="31">
      <x:c r="A31" s="2"/>
      <x:c r="B31" s="2"/>
      <x:c r="C31" s="2"/>
      <x:c r="D31" s="2"/>
      <x:c r="E31" s="2"/>
      <x:c r="F31" s="2"/>
      <x:c r="G31" s="2"/>
      <x:c r="H31" s="2"/>
      <x:c r="I31" s="2"/>
      <x:c r="J31" s="2"/>
      <x:c r="K31" s="2"/>
      <x:c r="L31" s="2"/>
    </x:row>
    <x:row r="32">
      <x:c r="A32" s="2"/>
      <x:c r="B32" s="2"/>
      <x:c r="C32" s="2"/>
      <x:c r="D32" s="2"/>
      <x:c r="E32" s="2"/>
      <x:c r="F32" s="2"/>
      <x:c r="G32" s="2"/>
      <x:c r="H32" s="2"/>
      <x:c r="I32" s="2"/>
      <x:c r="J32" s="2"/>
      <x:c r="K32" s="2"/>
      <x:c r="L32" s="2"/>
    </x:row>
    <x:row r="33">
      <x:c r="A33" s="2"/>
      <x:c r="B33" s="2"/>
      <x:c r="C33" s="2"/>
      <x:c r="D33" s="2"/>
      <x:c r="E33" s="2"/>
      <x:c r="F33" s="2"/>
      <x:c r="G33" s="2"/>
      <x:c r="H33" s="2"/>
      <x:c r="I33" s="2"/>
      <x:c r="J33" s="2"/>
      <x:c r="K33" s="2"/>
      <x:c r="L33" s="2"/>
    </x:row>
    <x:row r="34">
      <x:c r="A34" s="2"/>
      <x:c r="B34" s="2"/>
      <x:c r="C34" s="2"/>
      <x:c r="D34" s="2"/>
      <x:c r="E34" s="2"/>
      <x:c r="F34" s="2"/>
      <x:c r="G34" s="2"/>
      <x:c r="H34" s="2"/>
      <x:c r="I34" s="2"/>
      <x:c r="J34" s="2"/>
      <x:c r="K34" s="2"/>
      <x:c r="L34" s="2"/>
    </x:row>
    <x:row r="35">
      <x:c r="A35" s="2"/>
      <x:c r="B35" s="2"/>
      <x:c r="C35" s="2"/>
      <x:c r="D35" s="2"/>
      <x:c r="E35" s="2"/>
      <x:c r="F35" s="2"/>
      <x:c r="G35" s="2"/>
      <x:c r="H35" s="2"/>
      <x:c r="I35" s="2"/>
      <x:c r="J35" s="2"/>
      <x:c r="K35" s="2"/>
      <x:c r="L35" s="2"/>
    </x:row>
  </x:sheetData>
  <x:mergeCells>
    <x:mergeCell ref="A1:L1"/>
    <x:mergeCell ref="A2:L2"/>
    <x:mergeCell ref="A12:F12"/>
    <x:mergeCell ref="A21:L21"/>
    <x:mergeCell ref="A22:L24"/>
    <x:mergeCell ref="A27:L27"/>
    <x:mergeCell ref="A28:L30"/>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2" hidden="0" customWidth="1"/>
  </x:cols>
  <x:sheetData>
    <x:row r="1" ht="34" customHeight="1">
      <x:c r="A1" s="6" t="str">
        <x:v>AI Fill Guide – Detect, Route, Assess</x:v>
      </x:c>
      <x:c r="B1" s="6"/>
      <x:c r="C1" s="6"/>
      <x:c r="D1" s="6"/>
      <x:c r="E1" s="6"/>
      <x:c r="F1" s="6"/>
      <x:c r="G1" s="6"/>
      <x:c r="H1" s="6"/>
      <x:c r="I1" s="6"/>
      <x:c r="J1" s="6"/>
    </x:row>
    <x:row r="2" ht="34" customHeight="1">
      <x:c r="A2" s="12" t="str">
        <x:v>Mandatory order: identify sources → detect architecture types → route scenarios → assess selected questions → create only material findings. Never run every lens against every solution.</x:v>
      </x:c>
      <x:c r="B2" s="12"/>
      <x:c r="C2" s="12"/>
      <x:c r="D2" s="12"/>
      <x:c r="E2" s="12"/>
      <x:c r="F2" s="12"/>
      <x:c r="G2" s="12"/>
      <x:c r="H2" s="12"/>
      <x:c r="I2" s="12"/>
      <x:c r="J2" s="12"/>
    </x:row>
    <x:row r="3">
      <x:c r="A3" s="2"/>
      <x:c r="B3" s="2"/>
      <x:c r="C3" s="2"/>
      <x:c r="D3" s="2"/>
      <x:c r="E3" s="2"/>
      <x:c r="F3" s="2"/>
      <x:c r="G3" s="2"/>
      <x:c r="H3" s="2"/>
      <x:c r="I3" s="2"/>
      <x:c r="J3" s="2"/>
    </x:row>
    <x:row r="4">
      <x:c r="A4" s="93" t="str">
        <x:v>Phase</x:v>
      </x:c>
      <x:c r="B4" s="93" t="str"/>
      <x:c r="C4" s="93" t="str">
        <x:v>Required Behavior</x:v>
      </x:c>
      <x:c r="D4" s="93" t="str"/>
      <x:c r="E4" s="93" t="str"/>
      <x:c r="F4" s="93" t="str">
        <x:v>Prohibited Behavior</x:v>
      </x:c>
      <x:c r="G4" s="93" t="str"/>
      <x:c r="H4" s="93" t="str">
        <x:v>Primary Output</x:v>
      </x:c>
      <x:c r="I4" s="93" t="str"/>
      <x:c r="J4" s="93" t="str">
        <x:v>Cross-Link</x:v>
      </x:c>
    </x:row>
    <x:row r="5" ht="56" customHeight="1">
      <x:c r="A5" s="254" t="str">
        <x:v>1. Identify sources</x:v>
      </x:c>
      <x:c r="B5" s="254"/>
      <x:c r="C5" s="180" t="str">
        <x:v>List every available source and its scope/version.</x:v>
      </x:c>
      <x:c r="D5" s="180"/>
      <x:c r="E5" s="180"/>
      <x:c r="F5" s="259" t="str">
        <x:v>Do not claim unavailable evidence was reviewed.</x:v>
      </x:c>
      <x:c r="G5" s="259"/>
      <x:c r="H5" s="262" t="str">
        <x:v>Assessment Summary</x:v>
      </x:c>
      <x:c r="I5" s="262"/>
      <x:c r="J5" s="180" t="str">
        <x:v>Source names</x:v>
      </x:c>
    </x:row>
    <x:row r="6" ht="56" customHeight="1">
      <x:c r="A6" s="265" t="str">
        <x:v>2. Build component model</x:v>
      </x:c>
      <x:c r="B6" s="265"/>
      <x:c r="C6" s="72" t="str">
        <x:v>Identify physical devices, applications, hosting, interfaces, data stores, users and control boundaries.</x:v>
      </x:c>
      <x:c r="D6" s="72"/>
      <x:c r="E6" s="72"/>
      <x:c r="F6" s="268" t="str">
        <x:v>Do not classify from marketing/product name alone.</x:v>
      </x:c>
      <x:c r="G6" s="268"/>
      <x:c r="H6" s="271" t="str">
        <x:v>Classification inputs</x:v>
      </x:c>
      <x:c r="I6" s="271"/>
      <x:c r="J6" s="72" t="str">
        <x:v>Sources / CMP</x:v>
      </x:c>
    </x:row>
    <x:row r="7" ht="56" customHeight="1">
      <x:c r="A7" s="254" t="str">
        <x:v>3. Detect architecture types</x:v>
      </x:c>
      <x:c r="B7" s="254"/>
      <x:c r="C7" s="180" t="str">
        <x:v>Assign one primary and zero or more secondary types with confidence and rationale.</x:v>
      </x:c>
      <x:c r="D7" s="180"/>
      <x:c r="E7" s="180"/>
      <x:c r="F7" s="259" t="str">
        <x:v>Do not force a single type on a composite solution.</x:v>
      </x:c>
      <x:c r="G7" s="259"/>
      <x:c r="H7" s="262" t="str">
        <x:v>Solution Classification</x:v>
      </x:c>
      <x:c r="I7" s="262"/>
      <x:c r="J7" s="180" t="str">
        <x:v>Signals</x:v>
      </x:c>
    </x:row>
    <x:row r="8" ht="56" customHeight="1">
      <x:c r="A8" s="265" t="str">
        <x:v>4. Route questions</x:v>
      </x:c>
      <x:c r="B8" s="265"/>
      <x:c r="C8" s="72" t="str">
        <x:v>Use R/C/— matrix plus inclusion and exclusion criteria; write a rationale for every decision.</x:v>
      </x:c>
      <x:c r="D8" s="72"/>
      <x:c r="E8" s="72"/>
      <x:c r="F8" s="268" t="str">
        <x:v>Do not select all modules by default.</x:v>
      </x:c>
      <x:c r="G8" s="268"/>
      <x:c r="H8" s="271" t="str">
        <x:v>Question Router</x:v>
      </x:c>
      <x:c r="I8" s="271"/>
      <x:c r="J8" s="72" t="str">
        <x:v>Scenario IDs</x:v>
      </x:c>
    </x:row>
    <x:row r="9" ht="56" customHeight="1">
      <x:c r="A9" s="254" t="str">
        <x:v>5. Resolve conditional items</x:v>
      </x:c>
      <x:c r="B9" s="254"/>
      <x:c r="C9" s="180" t="str">
        <x:v>Obtain the missing fact or leave Conditional – verify with owner/evidence needed.</x:v>
      </x:c>
      <x:c r="D9" s="180"/>
      <x:c r="E9" s="180"/>
      <x:c r="F9" s="259" t="str">
        <x:v>Do not convert unknown applicability into a risk score.</x:v>
      </x:c>
      <x:c r="G9" s="259"/>
      <x:c r="H9" s="262" t="str">
        <x:v>Question Router</x:v>
      </x:c>
      <x:c r="I9" s="262"/>
      <x:c r="J9" s="180" t="str">
        <x:v>Sources / owner</x:v>
      </x:c>
    </x:row>
    <x:row r="10" ht="56" customHeight="1">
      <x:c r="A10" s="265" t="str">
        <x:v>6. Capture evidence</x:v>
      </x:c>
      <x:c r="B10" s="265"/>
      <x:c r="C10" s="72" t="str">
        <x:v>Populate only applicable DD evidence with exact sources and confidence.</x:v>
      </x:c>
      <x:c r="D10" s="72"/>
      <x:c r="E10" s="72"/>
      <x:c r="F10" s="268" t="str">
        <x:v>Do not duplicate DD wording in the Risk Register.</x:v>
      </x:c>
      <x:c r="G10" s="268"/>
      <x:c r="H10" s="271" t="str">
        <x:v>Due Diligence</x:v>
      </x:c>
      <x:c r="I10" s="271"/>
      <x:c r="J10" s="72" t="str">
        <x:v>DD IDs</x:v>
      </x:c>
    </x:row>
    <x:row r="11" ht="56" customHeight="1">
      <x:c r="A11" s="254" t="str">
        <x:v>7. Assess selected scenarios</x:v>
      </x:c>
      <x:c r="B11" s="254"/>
      <x:c r="C11" s="180" t="str">
        <x:v>State design condition, trigger, consequence and affected objective for the actual solution.</x:v>
      </x:c>
      <x:c r="D11" s="180"/>
      <x:c r="E11" s="180"/>
      <x:c r="F11" s="259" t="str">
        <x:v>Do not apply generic IAM/DR/web/cloud questions when their boundary does not exist.</x:v>
      </x:c>
      <x:c r="G11" s="259"/>
      <x:c r="H11" s="262" t="str">
        <x:v>Router disposition</x:v>
      </x:c>
      <x:c r="I11" s="262"/>
      <x:c r="J11" s="180" t="str">
        <x:v>Scenario IDs</x:v>
      </x:c>
    </x:row>
    <x:row r="12" ht="56" customHeight="1">
      <x:c r="A12" s="265" t="str">
        <x:v>8. Create material findings</x:v>
      </x:c>
      <x:c r="B12" s="265"/>
      <x:c r="C12" s="72" t="str">
        <x:v>Create Risk Register rows only for material Gap, Risk or Decision Required.</x:v>
      </x:c>
      <x:c r="D12" s="72"/>
      <x:c r="E12" s="72"/>
      <x:c r="F12" s="268" t="str">
        <x:v>Do not create N/A, Pass or generic missing-document rows.</x:v>
      </x:c>
      <x:c r="G12" s="268"/>
      <x:c r="H12" s="271" t="str">
        <x:v>Risk Register</x:v>
      </x:c>
      <x:c r="I12" s="271"/>
      <x:c r="J12" s="72" t="str">
        <x:v>Risk ↔ scenario/DD</x:v>
      </x:c>
    </x:row>
    <x:row r="13" ht="56" customHeight="1">
      <x:c r="A13" s="254" t="str">
        <x:v>9. Record decisions/exceptions</x:v>
      </x:c>
      <x:c r="B13" s="254"/>
      <x:c r="C13" s="180" t="str">
        <x:v>Use ADR for trade-offs and Exception for explicit policy deviation.</x:v>
      </x:c>
      <x:c r="D13" s="180"/>
      <x:c r="E13" s="180"/>
      <x:c r="F13" s="259" t="str">
        <x:v>Do not hide approval decisions in risk notes.</x:v>
      </x:c>
      <x:c r="G13" s="259"/>
      <x:c r="H13" s="262" t="str">
        <x:v>ADR / Exception</x:v>
      </x:c>
      <x:c r="I13" s="262"/>
      <x:c r="J13" s="180" t="str">
        <x:v>ADR/EX IDs</x:v>
      </x:c>
    </x:row>
    <x:row r="14" ht="56" customHeight="1">
      <x:c r="A14" s="265" t="str">
        <x:v>10. Validate</x:v>
      </x:c>
      <x:c r="B14" s="265"/>
      <x:c r="C14" s="72" t="str">
        <x:v>Check proportionality, SME review, traceability, formulas, closure evidence and residual-risk discipline.</x:v>
      </x:c>
      <x:c r="D14" s="72"/>
      <x:c r="E14" s="72"/>
      <x:c r="F14" s="268" t="str">
        <x:v>Do not claim completeness without routing and source review.</x:v>
      </x:c>
      <x:c r="G14" s="268"/>
      <x:c r="H14" s="271" t="str">
        <x:v>All sheets</x:v>
      </x:c>
      <x:c r="I14" s="271"/>
      <x:c r="J14" s="72" t="str">
        <x:v>QA</x:v>
      </x:c>
    </x:row>
    <x:row r="15">
      <x:c r="A15" s="2"/>
      <x:c r="B15" s="2"/>
      <x:c r="C15" s="2"/>
      <x:c r="D15" s="2"/>
      <x:c r="E15" s="2"/>
      <x:c r="F15" s="2"/>
      <x:c r="G15" s="2"/>
      <x:c r="H15" s="2"/>
      <x:c r="I15" s="2"/>
      <x:c r="J15" s="2"/>
    </x:row>
    <x:row r="16">
      <x:c r="A16" s="2"/>
      <x:c r="B16" s="2"/>
      <x:c r="C16" s="2"/>
      <x:c r="D16" s="2"/>
      <x:c r="E16" s="2"/>
      <x:c r="F16" s="2"/>
      <x:c r="G16" s="2"/>
      <x:c r="H16" s="2"/>
      <x:c r="I16" s="2"/>
      <x:c r="J16" s="2"/>
    </x:row>
    <x:row r="17">
      <x:c r="A17" s="52" t="str">
        <x:v>Copy-ready adaptive prompt rules</x:v>
      </x:c>
      <x:c r="B17" s="52"/>
      <x:c r="C17" s="52"/>
      <x:c r="D17" s="52"/>
      <x:c r="E17" s="52"/>
      <x:c r="F17" s="52"/>
      <x:c r="G17" s="52"/>
      <x:c r="H17" s="52"/>
      <x:c r="I17" s="52"/>
      <x:c r="J17" s="52"/>
    </x:row>
    <x:row r="18" ht="72" customHeight="1">
      <x:c r="A18" s="274" t="str">
        <x:v>CLASSIFY FIRST</x:v>
      </x:c>
      <x:c r="B18" s="275"/>
      <x:c r="C18" s="277" t="str">
        <x:v>Before assessing risk, build a component/control-boundary model and complete Solution Classification. Select one primary architecture type and all evidenced secondary types. State confidence, assumptions and sources.</x:v>
      </x:c>
      <x:c r="D18" s="277"/>
      <x:c r="E18" s="277"/>
      <x:c r="F18" s="277"/>
      <x:c r="G18" s="277"/>
      <x:c r="H18" s="277"/>
      <x:c r="I18" s="277"/>
      <x:c r="J18" s="277"/>
    </x:row>
    <x:row r="19" ht="72" customHeight="1">
      <x:c r="A19" s="274" t="str">
        <x:v>ROUTE, DO NOT SPRAY</x:v>
      </x:c>
      <x:c r="B19" s="275"/>
      <x:c r="C19" s="277" t="str">
        <x:v>Use the Question Router matrix. Select R scenarios for detected types; select C scenarios only when their trigger exists; exclude — scenarios unless strong evidence justifies inclusion. Record a rationale for every routing decision.</x:v>
      </x:c>
      <x:c r="D19" s="277"/>
      <x:c r="E19" s="277"/>
      <x:c r="F19" s="277"/>
      <x:c r="G19" s="277"/>
      <x:c r="H19" s="277"/>
      <x:c r="I19" s="277"/>
      <x:c r="J19" s="277"/>
    </x:row>
    <x:row r="20" ht="72" customHeight="1">
      <x:c r="A20" s="274" t="str">
        <x:v>COMPOSITE SOLUTIONS</x:v>
      </x:c>
      <x:c r="B20" s="275"/>
      <x:c r="C20" s="277" t="str">
        <x:v>A solution may be Biomedical + Epic Interface + On-Prem COTS, or Web + SaaS + API. Combine only the modules represented by actual components/workflows. Do not select unrelated lenses.</x:v>
      </x:c>
      <x:c r="D20" s="277"/>
      <x:c r="E20" s="277"/>
      <x:c r="F20" s="277"/>
      <x:c r="G20" s="277"/>
      <x:c r="H20" s="277"/>
      <x:c r="I20" s="277"/>
      <x:c r="J20" s="277"/>
    </x:row>
    <x:row r="21" ht="72" customHeight="1">
      <x:c r="A21" s="274" t="str">
        <x:v>MATERIALITY GATE</x:v>
      </x:c>
      <x:c r="B21" s="275"/>
      <x:c r="C21" s="277" t="str">
        <x:v>A selected question does not automatically become a risk. Create a Risk Register row only when the design has a material Gap, Risk or Decision Required with a credible consequence and actionable owner/closure criterion.</x:v>
      </x:c>
      <x:c r="D21" s="277"/>
      <x:c r="E21" s="277"/>
      <x:c r="F21" s="277"/>
      <x:c r="G21" s="277"/>
      <x:c r="H21" s="277"/>
      <x:c r="I21" s="277"/>
      <x:c r="J21" s="277"/>
    </x:row>
    <x:row r="22" ht="72" customHeight="1">
      <x:c r="A22" s="274" t="str">
        <x:v>UNKNOWN ≠ RISK</x:v>
      </x:c>
      <x:c r="B22" s="275"/>
      <x:c r="C22" s="277" t="str">
        <x:v>If applicability or evidence is unknown, use Conditional – verify or Pending Evidence. Treat missing evidence as a risk only when the uncertainty itself creates a material decision or exposure.</x:v>
      </x:c>
      <x:c r="D22" s="277"/>
      <x:c r="E22" s="277"/>
      <x:c r="F22" s="277"/>
      <x:c r="G22" s="277"/>
      <x:c r="H22" s="277"/>
      <x:c r="I22" s="277"/>
      <x:c r="J22" s="277"/>
    </x:row>
    <x:row r="23" ht="72" customHeight="1">
      <x:c r="A23" s="274" t="str">
        <x:v>STRICT BOUNDARIES</x:v>
      </x:c>
      <x:c r="B23" s="275"/>
      <x:c r="C23" s="277" t="str">
        <x:v>Due Diligence stores attestations/control evidence; Question Router stores selection and no-finding trace; Risk Register stores material design findings; ADR stores trade-offs; Exception stores formal policy deviations.</x:v>
      </x:c>
      <x:c r="D23" s="277"/>
      <x:c r="E23" s="277"/>
      <x:c r="F23" s="277"/>
      <x:c r="G23" s="277"/>
      <x:c r="H23" s="277"/>
      <x:c r="I23" s="277"/>
      <x:c r="J23" s="277"/>
    </x:row>
    <x:row r="24" ht="72" customHeight="1">
      <x:c r="A24" s="274" t="str">
        <x:v>SCORING</x:v>
      </x:c>
      <x:c r="B24" s="275"/>
      <x:c r="C24" s="277" t="str">
        <x:v>Score inherent risk before treatment. Leave residual scores blank until controls are implemented and verified. Excluded scenarios are never scored.</x:v>
      </x:c>
      <x:c r="D24" s="277"/>
      <x:c r="E24" s="277"/>
      <x:c r="F24" s="277"/>
      <x:c r="G24" s="277"/>
      <x:c r="H24" s="277"/>
      <x:c r="I24" s="277"/>
      <x:c r="J24" s="277"/>
    </x:row>
    <x:row r="25" ht="72" customHeight="1">
      <x:c r="A25" s="274" t="str">
        <x:v>PROPORTIONALITY</x:v>
      </x:c>
      <x:c r="B25" s="275"/>
      <x:c r="C25" s="277" t="str">
        <x:v>Typical single-type assessments select 12–25 scenarios; composite solutions 18–35. If selecting more than 40, explain why scope/criticality requires it and obtain architecture-owner review.</x:v>
      </x:c>
      <x:c r="D25" s="277"/>
      <x:c r="E25" s="277"/>
      <x:c r="F25" s="277"/>
      <x:c r="G25" s="277"/>
      <x:c r="H25" s="277"/>
      <x:c r="I25" s="277"/>
      <x:c r="J25" s="277"/>
    </x:row>
    <x:row r="26" ht="72" customHeight="1">
      <x:c r="A26" s="274" t="str">
        <x:v>QUALITY CONTROL</x:v>
      </x:c>
      <x:c r="B26" s="275"/>
      <x:c r="C26" s="277" t="str">
        <x:v>Confirm type detection, routing rationale, SME validation, evidence traceability, actual component inventory, materiality, formulas, readable layout and no duplicated DD questions.</x:v>
      </x:c>
      <x:c r="D26" s="277"/>
      <x:c r="E26" s="277"/>
      <x:c r="F26" s="277"/>
      <x:c r="G26" s="277"/>
      <x:c r="H26" s="277"/>
      <x:c r="I26" s="277"/>
      <x:c r="J26" s="277"/>
    </x:row>
    <x:row r="27">
      <x:c r="A27" s="2"/>
      <x:c r="B27" s="2"/>
      <x:c r="C27" s="2"/>
      <x:c r="D27" s="2"/>
      <x:c r="E27" s="2"/>
      <x:c r="F27" s="2"/>
      <x:c r="G27" s="2"/>
      <x:c r="H27" s="2"/>
      <x:c r="I27" s="2"/>
      <x:c r="J27" s="2"/>
    </x:row>
    <x:row r="28">
      <x:c r="A28" s="2"/>
      <x:c r="B28" s="2"/>
      <x:c r="C28" s="2"/>
      <x:c r="D28" s="2"/>
      <x:c r="E28" s="2"/>
      <x:c r="F28" s="2"/>
      <x:c r="G28" s="2"/>
      <x:c r="H28" s="2"/>
      <x:c r="I28" s="2"/>
      <x:c r="J28" s="2"/>
    </x:row>
    <x:row r="29">
      <x:c r="A29" s="2"/>
      <x:c r="B29" s="2"/>
      <x:c r="C29" s="2"/>
      <x:c r="D29" s="2"/>
      <x:c r="E29" s="2"/>
      <x:c r="F29" s="2"/>
      <x:c r="G29" s="2"/>
      <x:c r="H29" s="2"/>
      <x:c r="I29" s="2"/>
      <x:c r="J29" s="2"/>
    </x:row>
    <x:row r="30">
      <x:c r="A30" s="2"/>
      <x:c r="B30" s="2"/>
      <x:c r="C30" s="2"/>
      <x:c r="D30" s="2"/>
      <x:c r="E30" s="2"/>
      <x:c r="F30" s="2"/>
      <x:c r="G30" s="2"/>
      <x:c r="H30" s="2"/>
      <x:c r="I30" s="2"/>
      <x:c r="J30" s="2"/>
    </x:row>
    <x:row r="31">
      <x:c r="A31" s="2"/>
      <x:c r="B31" s="2"/>
      <x:c r="C31" s="2"/>
      <x:c r="D31" s="2"/>
      <x:c r="E31" s="2"/>
      <x:c r="F31" s="2"/>
      <x:c r="G31" s="2"/>
      <x:c r="H31" s="2"/>
      <x:c r="I31" s="2"/>
      <x:c r="J31" s="2"/>
    </x:row>
    <x:row r="32">
      <x:c r="A32" s="2"/>
      <x:c r="B32" s="2"/>
      <x:c r="C32" s="2"/>
      <x:c r="D32" s="2"/>
      <x:c r="E32" s="2"/>
      <x:c r="F32" s="2"/>
      <x:c r="G32" s="2"/>
      <x:c r="H32" s="2"/>
      <x:c r="I32" s="2"/>
      <x:c r="J32" s="2"/>
    </x:row>
    <x:row r="33">
      <x:c r="A33" s="2"/>
      <x:c r="B33" s="2"/>
      <x:c r="C33" s="2"/>
      <x:c r="D33" s="2"/>
      <x:c r="E33" s="2"/>
      <x:c r="F33" s="2"/>
      <x:c r="G33" s="2"/>
      <x:c r="H33" s="2"/>
      <x:c r="I33" s="2"/>
      <x:c r="J33" s="2"/>
    </x:row>
    <x:row r="34">
      <x:c r="A34" s="2"/>
      <x:c r="B34" s="2"/>
      <x:c r="C34" s="2"/>
      <x:c r="D34" s="2"/>
      <x:c r="E34" s="2"/>
      <x:c r="F34" s="2"/>
      <x:c r="G34" s="2"/>
      <x:c r="H34" s="2"/>
      <x:c r="I34" s="2"/>
      <x:c r="J34" s="2"/>
    </x:row>
    <x:row r="35">
      <x:c r="A35" s="2"/>
      <x:c r="B35" s="2"/>
      <x:c r="C35" s="2"/>
      <x:c r="D35" s="2"/>
      <x:c r="E35" s="2"/>
      <x:c r="F35" s="2"/>
      <x:c r="G35" s="2"/>
      <x:c r="H35" s="2"/>
      <x:c r="I35" s="2"/>
      <x:c r="J35" s="2"/>
    </x:row>
  </x:sheetData>
  <x:mergeCells>
    <x:mergeCell ref="A1:J1"/>
    <x:mergeCell ref="A2:J2"/>
    <x:mergeCell ref="A4:B4"/>
    <x:mergeCell ref="C4:E4"/>
    <x:mergeCell ref="F4:G4"/>
    <x:mergeCell ref="H4:I4"/>
    <x:mergeCell ref="A5:B5"/>
    <x:mergeCell ref="C5:E5"/>
    <x:mergeCell ref="F5:G5"/>
    <x:mergeCell ref="H5:I5"/>
    <x:mergeCell ref="A6:B6"/>
    <x:mergeCell ref="C6:E6"/>
    <x:mergeCell ref="F6:G6"/>
    <x:mergeCell ref="H6:I6"/>
    <x:mergeCell ref="A7:B7"/>
    <x:mergeCell ref="C7:E7"/>
    <x:mergeCell ref="F7:G7"/>
    <x:mergeCell ref="H7:I7"/>
    <x:mergeCell ref="A8:B8"/>
    <x:mergeCell ref="C8:E8"/>
    <x:mergeCell ref="F8:G8"/>
    <x:mergeCell ref="H8:I8"/>
    <x:mergeCell ref="A9:B9"/>
    <x:mergeCell ref="C9:E9"/>
    <x:mergeCell ref="F9:G9"/>
    <x:mergeCell ref="H9:I9"/>
    <x:mergeCell ref="A10:B10"/>
    <x:mergeCell ref="C10:E10"/>
    <x:mergeCell ref="F10:G10"/>
    <x:mergeCell ref="H10:I10"/>
    <x:mergeCell ref="A11:B11"/>
    <x:mergeCell ref="C11:E11"/>
    <x:mergeCell ref="F11:G11"/>
    <x:mergeCell ref="H11:I11"/>
    <x:mergeCell ref="A12:B12"/>
    <x:mergeCell ref="C12:E12"/>
    <x:mergeCell ref="F12:G12"/>
    <x:mergeCell ref="H12:I12"/>
    <x:mergeCell ref="A13:B13"/>
    <x:mergeCell ref="C13:E13"/>
    <x:mergeCell ref="F13:G13"/>
    <x:mergeCell ref="H13:I13"/>
    <x:mergeCell ref="A14:B14"/>
    <x:mergeCell ref="C14:E14"/>
    <x:mergeCell ref="F14:G14"/>
    <x:mergeCell ref="H14:I14"/>
    <x:mergeCell ref="A17:J17"/>
    <x:mergeCell ref="A18:B18"/>
    <x:mergeCell ref="C18:J18"/>
    <x:mergeCell ref="A19:B19"/>
    <x:mergeCell ref="C19:J19"/>
    <x:mergeCell ref="A20:B20"/>
    <x:mergeCell ref="C20:J20"/>
    <x:mergeCell ref="A21:B21"/>
    <x:mergeCell ref="C21:J21"/>
    <x:mergeCell ref="A22:B22"/>
    <x:mergeCell ref="C22:J22"/>
    <x:mergeCell ref="A23:B23"/>
    <x:mergeCell ref="C23:J23"/>
    <x:mergeCell ref="A24:B24"/>
    <x:mergeCell ref="C24:J24"/>
    <x:mergeCell ref="A25:B25"/>
    <x:mergeCell ref="C25:J25"/>
    <x:mergeCell ref="A26:B26"/>
    <x:mergeCell ref="C26:J26"/>
  </x:mergeCells>
  <x:pageMargins left="0.7" right="0.7" top="0.75" bottom="0.75" header="0.3" footer="0.3"/>
</x:worksheet>
</file>